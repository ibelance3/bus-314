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b77f2a252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ance Sheet" sheetId="1" r:id="R588b9f7578904026"/>
    <x:sheet xmlns:r="http://schemas.openxmlformats.org/officeDocument/2006/relationships" name="Income Statement" sheetId="2" r:id="Raa1d6315c8324f02"/>
    <x:sheet xmlns:r="http://schemas.openxmlformats.org/officeDocument/2006/relationships" name="Cash Flow Statement" sheetId="3" r:id="R4bc28ec614db4e52"/>
    <x:sheet xmlns:r="http://schemas.openxmlformats.org/officeDocument/2006/relationships" name="Ratios" sheetId="4" r:id="R87f4853765e24cbf"/>
    <x:sheet xmlns:r="http://schemas.openxmlformats.org/officeDocument/2006/relationships" name="Notes" sheetId="5" r:id="R0e5a56159f094f32"/>
  </x:sheets>
  <x:definedNames>
    <x:definedName name="avg_equity" hidden="0" function="0" vbProcedure="0">Ratios!$C$33</x:definedName>
    <x:definedName name="avg_total_assets" hidden="0" function="0" vbProcedure="0">Ratios!$C$34</x:definedName>
    <x:definedName name="avg_total_capitalization" hidden="0" function="0" vbProcedure="0">Ratios!$C$35</x:definedName>
    <x:definedName name="BAL_assets_current_2023" hidden="0" function="0" vbProcedure="0">'Balance Sheet'!$D$9</x:definedName>
    <x:definedName name="BAL_assets_current_2024" hidden="0" function="0" vbProcedure="0">'Balance Sheet'!$C$9</x:definedName>
    <x:definedName name="BAL_assets_total_2023" hidden="0" function="0" vbProcedure="0">'Balance Sheet'!$D$20</x:definedName>
    <x:definedName name="BAL_assets_total_2024" hidden="0" function="0" vbProcedure="0">'Balance Sheet'!$C$20</x:definedName>
    <x:definedName name="BAL_cash_marketable_securities_2023" hidden="0" function="0" vbProcedure="0">'Balance Sheet'!$D$5</x:definedName>
    <x:definedName name="BAL_cash_marketable_securities_2024" hidden="0" function="0" vbProcedure="0">'Balance Sheet'!$C$5</x:definedName>
    <x:definedName name="BAL_debt_long_term_2023" hidden="0" function="0" vbProcedure="0">'Balance Sheet'!$H$10</x:definedName>
    <x:definedName name="BAL_debt_long_term_2024" hidden="0" function="0" vbProcedure="0">'Balance Sheet'!$G$10</x:definedName>
    <x:definedName name="BAL_equity_shareholders_2023" hidden="0" function="0" vbProcedure="0">'Balance Sheet'!$H$18</x:definedName>
    <x:definedName name="BAL_equity_shareholders_2024" hidden="0" function="0" vbProcedure="0">'Balance Sheet'!$G$18</x:definedName>
    <x:definedName name="BAL_inventories_2023" hidden="0" function="0" vbProcedure="0">'Balance Sheet'!$D$7</x:definedName>
    <x:definedName name="BAL_inventories_2024" hidden="0" function="0" vbProcedure="0">'Balance Sheet'!$C$7</x:definedName>
    <x:definedName name="BAL_liabilities_current_2023" hidden="0" function="0" vbProcedure="0">'Balance Sheet'!$H$8</x:definedName>
    <x:definedName name="BAL_liabilities_current_2024" hidden="0" function="0" vbProcedure="0">'Balance Sheet'!$G$8</x:definedName>
    <x:definedName name="BAL_liabilities_total_2023" hidden="0" function="0" vbProcedure="0">'Balance Sheet'!$H$13</x:definedName>
    <x:definedName name="BAL_liabilities_total_2024" hidden="0" function="0" vbProcedure="0">'Balance Sheet'!$G$13</x:definedName>
    <x:definedName name="BAL_receivables_2023" hidden="0" function="0" vbProcedure="0">'Balance Sheet'!$D$6</x:definedName>
    <x:definedName name="BAL_receivables_2024" hidden="0" function="0" vbProcedure="0">'Balance Sheet'!$C$6</x:definedName>
    <x:definedName name="cost_capital" hidden="0" function="0" vbProcedure="0">Ratios!$C$7</x:definedName>
    <x:definedName name="currentYear_after_tax_operating_income" hidden="0" function="0" vbProcedure="0">Ratios!$C$19</x:definedName>
    <x:definedName name="currentYear_assets_current" hidden="0" function="0" vbProcedure="0">Ratios!$C$23</x:definedName>
    <x:definedName name="currentYear_assets_total" hidden="0" function="0" vbProcedure="0">Ratios!$C$28</x:definedName>
    <x:definedName name="currentYear_cash_marketable_securities" hidden="0" function="0" vbProcedure="0">Ratios!$C$22</x:definedName>
    <x:definedName name="currentYear_cost_goods_sold_daily" hidden="0" function="0" vbProcedure="0">Ratios!$C$25</x:definedName>
    <x:definedName name="currentYear_daily_sales_average" hidden="0" function="0" vbProcedure="0">Ratios!$C$20</x:definedName>
    <x:definedName name="currentYear_debt_long_term" hidden="0" function="0" vbProcedure="0">Ratios!$C$26</x:definedName>
    <x:definedName name="currentYear_equity" hidden="0" function="0" vbProcedure="0">Ratios!$C$21</x:definedName>
    <x:definedName name="currentYear_inventory" hidden="0" function="0" vbProcedure="0">'Balance Sheet'!$C$7</x:definedName>
    <x:definedName name="currentYear_liabilities_current" hidden="0" function="0" vbProcedure="0">Ratios!$C$24</x:definedName>
    <x:definedName name="currentYear_liabilities_total" hidden="0" function="0" vbProcedure="0">Ratios!$C$30</x:definedName>
    <x:definedName name="currentYear_receivables" hidden="0" function="0" vbProcedure="0">'Balance Sheet'!$C$6</x:definedName>
    <x:definedName name="currentYear_total_capitalization" hidden="0" function="0" vbProcedure="0">Ratios!$C$29</x:definedName>
    <x:definedName name="currentYear_working_capital_net" hidden="0" function="0" vbProcedure="0">Ratios!$C$27</x:definedName>
    <x:definedName name="debt_long_term_equity" hidden="0" function="0" vbProcedure="0">Ratios!$C$36</x:definedName>
    <x:definedName name="INC_cost_goods_sold" hidden="0" function="0" vbProcedure="0">'Income Statement'!$C$5</x:definedName>
    <x:definedName name="INC_depreciation" hidden="0" function="0" vbProcedure="0">'Income Statement'!$C$9</x:definedName>
    <x:definedName name="INC_ebit" hidden="0" function="0" vbProcedure="0">'Income Statement'!$C$8</x:definedName>
    <x:definedName name="INC_interest_expense" hidden="0" function="0" vbProcedure="0">'Income Statement'!$C$11</x:definedName>
    <x:definedName name="INC_net" hidden="0" function="0" vbProcedure="0">'Income Statement'!$C$15</x:definedName>
    <x:definedName name="INC_other_income" hidden="0" function="0" vbProcedure="0">'Income Statement'!$C$10</x:definedName>
    <x:definedName name="INC_rd" hidden="0" function="0" vbProcedure="0">'Income Statement'!$C$6</x:definedName>
    <x:definedName name="INC_sales" hidden="0" function="0" vbProcedure="0">'Income Statement'!$C$4</x:definedName>
    <x:definedName name="INC_sga" hidden="0" function="0" vbProcedure="0">'Income Statement'!$C$7</x:definedName>
    <x:definedName name="INC_taxable_income" hidden="0" function="0" vbProcedure="0">'Income Statement'!$C$12</x:definedName>
    <x:definedName name="INC_taxes" hidden="0" function="0" vbProcedure="0">'Income Statement'!$C$14</x:definedName>
    <x:definedName name="market_capitalization" hidden="0" function="0" vbProcedure="0">Ratios!$C$9</x:definedName>
    <x:definedName name="RATIO_asset_turnover" hidden="0" function="0" vbProcedure="0">Ratios!$C$54</x:definedName>
    <x:definedName name="RATIO_avg_collection_period" hidden="0" function="0" vbProcedure="0">Ratios!$C$56</x:definedName>
    <x:definedName name="RATIO_cash_coverage" hidden="0" function="0" vbProcedure="0">Ratios!$C$67</x:definedName>
    <x:definedName name="RATIO_cash_ratio" hidden="0" function="0" vbProcedure="0">Ratios!$C$75</x:definedName>
    <x:definedName name="RATIO_current_ratio" hidden="0" function="0" vbProcedure="0">Ratios!$C$73</x:definedName>
    <x:definedName name="RATIO_days_inventory" hidden="0" function="0" vbProcedure="0">Ratios!$C$58</x:definedName>
    <x:definedName name="RATIO_debt_burden" hidden="0" function="0" vbProcedure="0">Ratios!$C$68</x:definedName>
    <x:definedName name="RATIO_debt_equity" hidden="0" function="0" vbProcedure="0">Ratios!$C$64</x:definedName>
    <x:definedName name="RATIO_dupont_roa" hidden="0" function="0" vbProcedure="0">Ratios!$C$78</x:definedName>
    <x:definedName name="RATIO_dupont_roe" hidden="0" function="0" vbProcedure="0">Ratios!$C$82</x:definedName>
    <x:definedName name="RATIO_eva" hidden="0" function="0" vbProcedure="0">Ratios!$C$43</x:definedName>
    <x:definedName name="RATIO_inventory_turnover" hidden="0" function="0" vbProcedure="0">Ratios!$C$57</x:definedName>
    <x:definedName name="RATIO_leverage" hidden="0" function="0" vbProcedure="0">Ratios!$C$69</x:definedName>
    <x:definedName name="RATIO_lt_debt_ratio" hidden="0" function="0" vbProcedure="0">Ratios!$C$63</x:definedName>
    <x:definedName name="RATIO_market_to_book" hidden="0" function="0" vbProcedure="0">Ratios!$C$42</x:definedName>
    <x:definedName name="RATIO_mva" hidden="0" function="0" vbProcedure="0">Ratios!$C$41</x:definedName>
    <x:definedName name="RATIO_nwc_to_assets" hidden="0" function="0" vbProcedure="0">Ratios!$C$72</x:definedName>
    <x:definedName name="RATIO_operating_profit_margin" hidden="0" function="0" vbProcedure="0">Ratios!$C$60</x:definedName>
    <x:definedName name="RATIO_profit_margin" hidden="0" function="0" vbProcedure="0">Ratios!$C$59</x:definedName>
    <x:definedName name="RATIO_quick_ratio" hidden="0" function="0" vbProcedure="0">Ratios!$C$74</x:definedName>
    <x:definedName name="RATIO_receivables_turnover" hidden="0" function="0" vbProcedure="0">Ratios!$C$55</x:definedName>
    <x:definedName name="RATIO_roa_avg" hidden="0" function="0" vbProcedure="0">Ratios!$C$49</x:definedName>
    <x:definedName name="RATIO_roa_start" hidden="0" function="0" vbProcedure="0">Ratios!$C$46</x:definedName>
    <x:definedName name="RATIO_roc_avg" hidden="0" function="0" vbProcedure="0">Ratios!$C$50</x:definedName>
    <x:definedName name="RATIO_roc_start" hidden="0" function="0" vbProcedure="0">Ratios!$C$47</x:definedName>
    <x:definedName name="RATIO_roe_avg" hidden="0" function="0" vbProcedure="0">Ratios!$C$51</x:definedName>
    <x:definedName name="RATIO_roe_start" hidden="0" function="0" vbProcedure="0">Ratios!$C$48</x:definedName>
    <x:definedName name="RATIO_times_interest_earned" hidden="0" function="0" vbProcedure="0">Ratios!$C$66</x:definedName>
    <x:definedName name="RATIO_total_debt_ratio" hidden="0" function="0" vbProcedure="0">Ratios!$C$65</x:definedName>
    <x:definedName name="shares_outstanding" hidden="0" function="0" vbProcedure="0">Ratios!$C$6</x:definedName>
    <x:definedName name="share_price" hidden="0" function="0" vbProcedure="0">Ratios!$C$5</x:definedName>
    <x:definedName name="startYear_equity" hidden="0" function="0" vbProcedure="0">Ratios!$C$12</x:definedName>
    <x:definedName name="startYear_inventory" hidden="0" function="0" vbProcedure="0">Ratios!$C$13</x:definedName>
    <x:definedName name="startYear_receivables" hidden="0" function="0" vbProcedure="0">Ratios!$C$14</x:definedName>
    <x:definedName name="startYear_total_assets" hidden="0" function="0" vbProcedure="0">Ratios!$C$15</x:definedName>
    <x:definedName name="startYear_total_capitalization" hidden="0" function="0" vbProcedure="0">Ratios!$C$16</x:definedName>
    <x:definedName name="tax_rate" hidden="0" function="0" vbProcedure="0">Ratios!$C$8</x:definedName>
    <x:definedName name="yearCurrent" hidden="0" function="0" vbProcedure="0">Ratios!$C$3</x:definedName>
    <x:definedName name="yearStart" hidden="0" function="0" vbProcedure="0">Ratios!$C$4</x:definedName>
  </x:definedNames>
</x:workbook>
</file>

<file path=xl/comments1.xml><?xml version="1.0" encoding="utf-8"?>
<x:comments xmlns:x="http://schemas.openxmlformats.org/spreadsheetml/2006/main">
  <x:authors>
    <x:author>Adam Stauffer</x:author>
  </x:authors>
  <x:commentList>
    <x:comment ref="C5" authorId="0">
      <x:text>
        <x:r>
          <x:t>Adam Stauffer:
Cash ($29,943) + Current Marketable Securities ($35,228). Source: Apple 10-K FY2024, SEC EDGAR, https://www.sec.gov/Archives/edgar/data/320193/000032019324000120/a8-kex991q4202409282024.htm</x:t>
        </x:r>
      </x:text>
    </x:comment>
    <x:comment ref="C6" authorId="0">
      <x:text>
        <x:r>
          <x:t>Adam Stauffer:
Accounts receivable, net. Source: Apple 10-K FY2024, SEC EDGAR</x:t>
        </x:r>
      </x:text>
    </x:comment>
    <x:comment ref="C8" authorId="0">
      <x:text>
        <x:r>
          <x:t>Adam Stauffer:
Vendor non-trade receivables ($32,833) + Other current assets ($14,287). Source: Apple 10-K FY2024, SEC EDGAR</x:t>
        </x:r>
      </x:text>
    </x:comment>
    <x:comment ref="C12" authorId="0">
      <x:text>
        <x:r>
          <x:t>Adam Stauffer:
Gross PP&amp;E from Apple 10-K FY2024; adjusted so net PP&amp;E = $45,680. Source: Apple 10-K FY2024, SEC EDGAR</x:t>
        </x:r>
      </x:text>
    </x:comment>
    <x:comment ref="C13" authorId="0">
      <x:text>
        <x:r>
          <x:t>Adam Stauffer:
Accumulated depreciation adjusted to give net PP&amp;E of $45,680. Source: Apple 10-K FY2024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C6" authorId="0">
      <x:text>
        <x:r>
          <x:t>Source: https://www.sec.gov/Archives/edgar/data/320193/000032019324000123/aapl-20240928.htm
Apple 2024 Form 10-K, Statements of Operations / Notes.</x:t>
        </x:r>
      </x:text>
    </x:comment>
    <x:comment ref="C7" authorId="0">
      <x:text>
        <x:r>
          <x:t>Source: https://www.sec.gov/Archives/edgar/data/320193/000032019324000123/aapl-20240928.htm
Apple 2024 Form 10-K, Statements of Operations.</x:t>
        </x:r>
      </x:text>
    </x:comment>
    <x:comment ref="C9" authorId="0">
      <x:text>
        <x:r>
          <x:t>Source: Apple 2024 Form 10-K depreciation disclosure / analyst presentation assumption for separate ratio support.
URL: https://www.sec.gov/Archives/edgar/data/320193/000032019324000123/aapl-20240928.htm</x:t>
        </x:r>
      </x:text>
    </x:comment>
    <x:comment ref="C10" authorId="0">
      <x:text>
        <x:r>
          <x:t>Analyst-supporting split to reconcile pretax income while showing interest separately.
Source: https://www.sec.gov/Archives/edgar/data/320193/000032019324000123/aapl-20240928.htm</x:t>
        </x:r>
      </x:text>
    </x:comment>
    <x:comment ref="C11" authorId="0">
      <x:text>
        <x:r>
          <x:t>Interest expense assumption used for ratio modeling (Times Interest Earned / Cash Coverage).
Source reference: https://www.sec.gov/Archives/edgar/data/320193/000032019324000123/aapl-20240928.htm</x:t>
        </x:r>
      </x:text>
    </x:comment>
    <x:comment ref="C14" authorId="0">
      <x:text>
        <x:r>
          <x:t>Source: https://www.sec.gov/Archives/edgar/data/320193/000032019324000123/aapl-20240928.htm
Provision for income taxes.</x:t>
        </x:r>
      </x:text>
    </x:comment>
  </x:commentList>
</x:comments>
</file>

<file path=xl/comments3.xml><?xml version="1.0" encoding="utf-8"?>
<x:comments xmlns:x="http://schemas.openxmlformats.org/spreadsheetml/2006/main">
  <x:authors>
    <x:author>Adam Stauffer</x:author>
  </x:authors>
  <x:commentList>
    <x:comment ref="C5" authorId="0">
      <x:text>
        <x:r>
          <x:t>Adam Stauffer:
Links to Income Statement net income. Source: Apple 10-K FY2024</x:t>
        </x:r>
      </x:text>
    </x:comment>
    <x:comment ref="C8" authorId="0">
      <x:text>
        <x:r>
          <x:t>Adam Stauffer:
Change in accounts receivable per Apple 10-K FY2024 cash flow statement</x:t>
        </x:r>
      </x:text>
    </x:comment>
    <x:comment ref="C9" authorId="0">
      <x:text>
        <x:r>
          <x:t>Adam Stauffer:
Change in inventories per Apple 10-K FY2024 cash flow statement</x:t>
        </x:r>
      </x:text>
    </x:comment>
    <x:comment ref="C10" authorId="0">
      <x:text>
        <x:r>
          <x:t>Change in other current and non-current assets (excluding vendor non-trade receivables). Source: Apple 10-K FY2024 cash flow statement</x:t>
        </x:r>
      </x:text>
    </x:comment>
    <x:comment ref="C12" authorId="0">
      <x:text>
        <x:r>
          <x:t>Adam Stauffer:
Increase in other current and non-current liabilities. Source: Apple 10-K FY2024</x:t>
        </x:r>
      </x:text>
    </x:comment>
    <x:comment ref="C18" authorId="0">
      <x:text>
        <x:r>
          <x:t>Adam Stauffer:
Net proceeds from marketable securities: maturities (51,211) + sales (11,135) - purchases (48,656) = 13,690. Source: Apple 10-K FY2024</x:t>
        </x:r>
      </x:text>
    </x:comment>
    <x:comment ref="C23" authorId="0">
      <x:text>
        <x:r>
          <x:t>Adam Stauffer:
Repayments of term debt. Source: Apple 10-K FY2024</x:t>
        </x:r>
      </x:text>
    </x:comment>
    <x:comment ref="C24" authorId="0">
      <x:text>
        <x:r>
          <x:t>Adam Stauffer:
Net proceeds from commercial paper. Source: Apple 10-K FY2024</x:t>
        </x:r>
      </x:text>
    </x:comment>
    <x:comment ref="C27" authorId="0">
      <x:text>
        <x:r>
          <x:t>Adam Stauffer:
Taxes on share settlements (-5,441) + other (-361). Source: Apple 10-K FY2024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C5" authorId="0">
      <x:text>
        <x:r>
          <x:t>Analyst share-price input. Historical quote reference page:
https://finance.yahoo.com/quote/AAPL/history/</x:t>
        </x:r>
      </x:text>
    </x:comment>
    <x:comment ref="C6" authorId="0">
      <x:text>
        <x:r>
          <x:t>Source: https://www.sec.gov/Archives/edgar/data/320193/000032019324000123/aapl-20240928.htm
Shares issued and outstanding (thousands) converted to millions.</x:t>
        </x:r>
      </x:text>
    </x:comment>
    <x:comment ref="C7" authorId="0">
      <x:text>
        <x:r>
          <x:t>Analyst assumption for WACC / cost of capital.</x:t>
        </x:r>
      </x:text>
    </x:comment>
    <x:comment ref="C8" authorId="0">
      <x:text>
        <x:r>
          <x:t>Analyst effective tax-rate assumption used for NOPAT and EVA.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<x:sst xmlns:x="http://schemas.openxmlformats.org/spreadsheetml/2006/main">
  <x:si>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Balance Sheet — Apple Inc. (AAPL)</x:t>
  </x:si>
  <x:si>
    <x:t xml:space="preserve">ASSETS</x:t>
  </x:si>
  <x:si>
    <x:t xml:space="preserve">FY2024 (Sep 28, 2024)</x:t>
  </x:si>
  <x:si>
    <x:t xml:space="preserve">FY2023 (Sep 30, 2023)</x:t>
  </x:si>
  <x:si>
    <x:t xml:space="preserve">LIABILITIES &amp; EQUITY</x:t>
  </x:si>
  <x:si>
    <x:t xml:space="preserve">(All figures in $millions)</x:t>
  </x:si>
  <x:si>
    <x:t xml:space="preserve">Current Assets</x:t>
  </x:si>
  <x:si>
    <x:t xml:space="preserve">Current Liabilities</x:t>
  </x:si>
  <x:si>
    <x:t xml:space="preserve">   Cash and marketable securities</x:t>
  </x:si>
  <x:si>
    <x:t xml:space="preserve">   Debt due for repayment</x:t>
  </x:si>
  <x:si>
    <x:t xml:space="preserve">   Receivables</x:t>
  </x:si>
  <x:si>
    <x:t xml:space="preserve">   Accounts payable</x:t>
  </x:si>
  <x:si>
    <x:t xml:space="preserve">   Inventories</x:t>
  </x:si>
  <x:si>
    <x:t xml:space="preserve">   Other current liabilities</x:t>
  </x:si>
  <x:si>
    <x:t xml:space="preserve">   Other current assets</x:t>
  </x:si>
  <x:si>
    <x:t xml:space="preserve">   Total current liabilities</x:t>
  </x:si>
  <x:si>
    <x:t xml:space="preserve">   Total current assets</x:t>
  </x:si>
  <x:si>
    <x:t xml:space="preserve">   Long-term debt</x:t>
  </x:si>
  <x:si>
    <x:t xml:space="preserve">Fixed Assets</x:t>
  </x:si>
  <x:si>
    <x:t xml:space="preserve">   Other long-term liabilities</x:t>
  </x:si>
  <x:si>
    <x:t xml:space="preserve">   Property, plant, and equipment</x:t>
  </x:si>
  <x:si>
    <x:t xml:space="preserve">   Less accumulated depreciation</x:t>
  </x:si>
  <x:si>
    <x:t xml:space="preserve">Total Liabilities</x:t>
  </x:si>
  <x:si>
    <x:t xml:space="preserve">   Net tangible fixed assets</x:t>
  </x:si>
  <x:si>
    <x:t xml:space="preserve">Shareholders' Equity</x:t>
  </x:si>
  <x:si>
    <x:t xml:space="preserve">Other Assets</x:t>
  </x:si>
  <x:si>
    <x:t xml:space="preserve">   Common stock and paid-in capital</x:t>
  </x:si>
  <x:si>
    <x:t xml:space="preserve">   Retained earnings / Accum. other comp. loss</x:t>
  </x:si>
  <x:si>
    <x:t xml:space="preserve">   Retained earnings</x:t>
  </x:si>
  <x:si>
    <x:t xml:space="preserve">   Other assets</x:t>
  </x:si>
  <x:si>
    <x:t xml:space="preserve">   Total shareholders' equity</x:t>
  </x:si>
  <x:si>
    <x:t xml:space="preserve">Total Assets</x:t>
  </x:si>
  <x:si>
    <x:t xml:space="preserve">Total Liabilities + Equity</x:t>
  </x:si>
  <x:si>
    <x:t xml:space="preserve">Balance Check (TA − TL&amp;E)</x:t>
  </x:si>
  <x:si>
    <x:t xml:space="preserve">Source: Apple 10-K FY2024, SEC EDGAR</x:t>
  </x:si>
  <x:si>
    <x:t xml:space="preserve">Income Statement — Apple Inc. (AAPL)</x:t>
  </x:si>
  <x:si>
    <x:t xml:space="preserve">Line Item</x:t>
  </x:si>
  <x:si>
    <x:t xml:space="preserve">% of Sales</x:t>
  </x:si>
  <x:si>
    <x:t xml:space="preserve">Net sales</x:t>
  </x:si>
  <x:si>
    <x:t xml:space="preserve">less Cost of goods sold</x:t>
  </x:si>
  <x:si>
    <x:t xml:space="preserve">less Research &amp; development</x:t>
  </x:si>
  <x:si>
    <x:t xml:space="preserve">less Selling, general &amp; administrative</x:t>
  </x:si>
  <x:si>
    <x:t xml:space="preserve">Earnings before interest &amp; taxes (EBIT)</x:t>
  </x:si>
  <x:si>
    <x:t xml:space="preserve">Depreciation (memo)</x:t>
  </x:si>
  <x:si>
    <x:t xml:space="preserve">plus Other income</x:t>
  </x:si>
  <x:si>
    <x:t xml:space="preserve">less Interest expense</x:t>
  </x:si>
  <x:si>
    <x:t xml:space="preserve">Taxable income</x:t>
  </x:si>
  <x:si>
    <x:t xml:space="preserve">less Taxes</x:t>
  </x:si>
  <x:si>
    <x:t xml:space="preserve">Net income</x:t>
  </x:si>
  <x:si>
    <x:t xml:space="preserve">Allocation of Net Income</x:t>
  </x:si>
  <x:si>
    <x:t xml:space="preserve">Dividends</x:t>
  </x:si>
  <x:si>
    <x:t xml:space="preserve">Addition to retained earnings</x:t>
  </x:si>
  <x:si>
    <x:t xml:space="preserve">Cash Flow Statement — Apple Inc. (AAPL)</x:t>
  </x:si>
  <x:si>
    <x:t xml:space="preserve">Source / Notes</x:t>
  </x:si>
  <x:si>
    <x:t xml:space="preserve">Operations:</x:t>
  </x:si>
  <x:si>
    <x:t xml:space="preserve">[Income Statement]</x:t>
  </x:si>
  <x:si>
    <x:t xml:space="preserve">plus Depreciation</x:t>
  </x:si>
  <x:si>
    <x:t xml:space="preserve">      plus Changes in working capital items</x:t>
  </x:si>
  <x:si>
    <x:t xml:space="preserve">      Decrease (increase) in accounts receivable</x:t>
  </x:si>
  <x:si>
    <x:t xml:space="preserve">[Balance Sheet]</x:t>
  </x:si>
  <x:si>
    <x:t xml:space="preserve">      Decrease (increase) in inventories</x:t>
  </x:si>
  <x:si>
    <x:t xml:space="preserve">      Decrease (increase) in other current assets</x:t>
  </x:si>
  <x:si>
    <x:t xml:space="preserve">      Increase (decrease) in accounts payable</x:t>
  </x:si>
  <x:si>
    <x:t xml:space="preserve">      Increase (decrease) in other current liabilities</x:t>
  </x:si>
  <x:si>
    <x:t xml:space="preserve">      Total change in working capital</x:t>
  </x:si>
  <x:si>
    <x:t xml:space="preserve">   Cash provided by operations</x:t>
  </x:si>
  <x:si>
    <x:t xml:space="preserve">Investments:</x:t>
  </x:si>
  <x:si>
    <x:t xml:space="preserve">Capital expenditures</x:t>
  </x:si>
  <x:si>
    <x:t xml:space="preserve">plus Sales (acquisitions) of long-term assets</x:t>
  </x:si>
  <x:si>
    <x:t xml:space="preserve">plus Other investing activities</x:t>
  </x:si>
  <x:si>
    <x:t xml:space="preserve">   Cash provided by (used for) investments</x:t>
  </x:si>
  <x:si>
    <x:t xml:space="preserve">Financing activities:</x:t>
  </x:si>
  <x:si>
    <x:t xml:space="preserve">Increase (decrease) in short-term debt</x:t>
  </x:si>
  <x:si>
    <x:t xml:space="preserve">plus Increase (decrease) in long-term debt</x:t>
  </x:si>
  <x:si>
    <x:t xml:space="preserve">plus Dividends</x:t>
  </x:si>
  <x:si>
    <x:t xml:space="preserve">plus Issues (repurchases) of stock</x:t>
  </x:si>
  <x:si>
    <x:t xml:space="preserve">plus Other</x:t>
  </x:si>
  <x:si>
    <x:t xml:space="preserve">   Cash provided by (used for) financing</x:t>
  </x:si>
  <x:si>
    <x:t xml:space="preserve">   Net increase (decrease) in cash</x:t>
  </x:si>
  <x:si>
    <x:t xml:space="preserve">Ratios — Apple Inc. (AAPL)</x:t>
  </x:si>
  <x:si>
    <x:t xml:space="preserve">Metric</x:t>
  </x:si>
  <x:si>
    <x:t xml:space="preserve">Input</x:t>
  </x:si>
  <x:si>
    <x:t xml:space="preserve">Named Range Formula</x:t>
  </x:si>
  <x:si>
    <x:t xml:space="preserve">Named Range</x:t>
  </x:si>
  <x:si>
    <x:t xml:space="preserve">Current year</x:t>
  </x:si>
  <x:si>
    <x:t xml:space="preserve">yearCurrent</x:t>
  </x:si>
  <x:si>
    <x:t xml:space="preserve">Start of year</x:t>
  </x:si>
  <x:si>
    <x:t xml:space="preserve">yearCurrent - 1</x:t>
  </x:si>
  <x:si>
    <x:t xml:space="preserve">yearStart</x:t>
  </x:si>
  <x:si>
    <x:t xml:space="preserve">Share price</x:t>
  </x:si>
  <x:si>
    <x:t xml:space="preserve">share_price</x:t>
  </x:si>
  <x:si>
    <x:t xml:space="preserve">Shares outstanding (M)</x:t>
  </x:si>
  <x:si>
    <x:t xml:space="preserve">shares_outstanding</x:t>
  </x:si>
  <x:si>
    <x:t xml:space="preserve">Cost of capital</x:t>
  </x:si>
  <x:si>
    <x:t xml:space="preserve">cost_capital</x:t>
  </x:si>
  <x:si>
    <x:t xml:space="preserve">Tax rate</x:t>
  </x:si>
  <x:si>
    <x:t xml:space="preserve">tax_rate</x:t>
  </x:si>
  <x:si>
    <x:t xml:space="preserve">Market capitalization</x:t>
  </x:si>
  <x:si>
    <x:t xml:space="preserve">share_price × shares_outstanding</x:t>
  </x:si>
  <x:si>
    <x:t xml:space="preserve">market_capitalization</x:t>
  </x:si>
  <x:si>
    <x:t xml:space="preserve">─── Start of Year (Prior Year Balance Sheet) ───</x:t>
  </x:si>
  <x:si>
    <x:t xml:space="preserve">Equity (start of year)</x:t>
  </x:si>
  <x:si>
    <x:t xml:space="preserve">BAL_equity_shareholders_2023</x:t>
  </x:si>
  <x:si>
    <x:t xml:space="preserve">startYear_equity</x:t>
  </x:si>
  <x:si>
    <x:t xml:space="preserve">Inventories (start of year)</x:t>
  </x:si>
  <x:si>
    <x:t xml:space="preserve">BAL_inventories_2023</x:t>
  </x:si>
  <x:si>
    <x:t xml:space="preserve">startYear_inventory</x:t>
  </x:si>
  <x:si>
    <x:t xml:space="preserve">Receivables (start of year)</x:t>
  </x:si>
  <x:si>
    <x:t xml:space="preserve">BAL_receivables_2023</x:t>
  </x:si>
  <x:si>
    <x:t xml:space="preserve">startYear_receivables</x:t>
  </x:si>
  <x:si>
    <x:t xml:space="preserve">Total assets (start of year)</x:t>
  </x:si>
  <x:si>
    <x:t xml:space="preserve">BAL_assets_total_2023</x:t>
  </x:si>
  <x:si>
    <x:t xml:space="preserve">startYear_total_assets</x:t>
  </x:si>
  <x:si>
    <x:t xml:space="preserve">Total capitalization (start of year)</x:t>
  </x:si>
  <x:si>
    <x:t xml:space="preserve">BAL_debt_long_term_2023 + BAL_equity_shareholders_2023</x:t>
  </x:si>
  <x:si>
    <x:t xml:space="preserve">startYear_total_capitalization</x:t>
  </x:si>
  <x:si>
    <x:t xml:space="preserve">─── Current Year (Derived) ───</x:t>
  </x:si>
  <x:si>
    <x:t xml:space="preserve">After-tax operating income</x:t>
  </x:si>
  <x:si>
    <x:t xml:space="preserve">INC_ebit × (1 − tax_rate)</x:t>
  </x:si>
  <x:si>
    <x:t xml:space="preserve">currentYear_after_tax_operating_income</x:t>
  </x:si>
  <x:si>
    <x:t xml:space="preserve">Average daily sales</x:t>
  </x:si>
  <x:si>
    <x:t xml:space="preserve">INC_sales / 365</x:t>
  </x:si>
  <x:si>
    <x:t xml:space="preserve">currentYear_daily_sales_average</x:t>
  </x:si>
  <x:si>
    <x:t xml:space="preserve">Book value of equity</x:t>
  </x:si>
  <x:si>
    <x:t xml:space="preserve">BAL_equity_shareholders_2024</x:t>
  </x:si>
  <x:si>
    <x:t xml:space="preserve">currentYear_equity</x:t>
  </x:si>
  <x:si>
    <x:t xml:space="preserve">Cash + Mktable securities</x:t>
  </x:si>
  <x:si>
    <x:t xml:space="preserve">BAL_cash_marketable_securities_2024</x:t>
  </x:si>
  <x:si>
    <x:t xml:space="preserve">currentYear_cash_marketable_securities</x:t>
  </x:si>
  <x:si>
    <x:t xml:space="preserve">Current assets</x:t>
  </x:si>
  <x:si>
    <x:t xml:space="preserve">BAL_assets_current_2024</x:t>
  </x:si>
  <x:si>
    <x:t xml:space="preserve">currentYear_assets_current</x:t>
  </x:si>
  <x:si>
    <x:t xml:space="preserve">Current liabilities</x:t>
  </x:si>
  <x:si>
    <x:t xml:space="preserve">BAL_liabilities_current_2024</x:t>
  </x:si>
  <x:si>
    <x:t xml:space="preserve">currentYear_liabilities_current</x:t>
  </x:si>
  <x:si>
    <x:t xml:space="preserve">Daily COGS</x:t>
  </x:si>
  <x:si>
    <x:t xml:space="preserve">INC_cost_goods_sold / 365</x:t>
  </x:si>
  <x:si>
    <x:t xml:space="preserve">currentYear_cost_goods_sold_daily</x:t>
  </x:si>
  <x:si>
    <x:t xml:space="preserve">Long-term debt</x:t>
  </x:si>
  <x:si>
    <x:t xml:space="preserve">BAL_debt_long_term_2024</x:t>
  </x:si>
  <x:si>
    <x:t xml:space="preserve">currentYear_debt_long_term</x:t>
  </x:si>
  <x:si>
    <x:t xml:space="preserve">Net working capital</x:t>
  </x:si>
  <x:si>
    <x:t xml:space="preserve">BAL_assets_current_2024 − BAL_liabilities_current_2024</x:t>
  </x:si>
  <x:si>
    <x:t xml:space="preserve">currentYear_working_capital_net</x:t>
  </x:si>
  <x:si>
    <x:t xml:space="preserve">Total assets</x:t>
  </x:si>
  <x:si>
    <x:t xml:space="preserve">BAL_assets_total_2024</x:t>
  </x:si>
  <x:si>
    <x:t xml:space="preserve">currentYear_assets_total</x:t>
  </x:si>
  <x:si>
    <x:t xml:space="preserve">Total capitalization</x:t>
  </x:si>
  <x:si>
    <x:t xml:space="preserve">BAL_debt_long_term_2024 + BAL_equity_shareholders_2024</x:t>
  </x:si>
  <x:si>
    <x:t xml:space="preserve">currentYear_total_capitalization</x:t>
  </x:si>
  <x:si>
    <x:t xml:space="preserve">Total liabilities</x:t>
  </x:si>
  <x:si>
    <x:t xml:space="preserve">BAL_liabilities_total_2024</x:t>
  </x:si>
  <x:si>
    <x:t xml:space="preserve">currentYear_liabilities_total</x:t>
  </x:si>
  <x:si>
    <x:t xml:space="preserve">─── Mixed Year (Averages) ───</x:t>
  </x:si>
  <x:si>
    <x:t xml:space="preserve">Average equity</x:t>
  </x:si>
  <x:si>
    <x:t xml:space="preserve">AVERAGE(startYear_equity, currentYear_equity)</x:t>
  </x:si>
  <x:si>
    <x:t xml:space="preserve">avg_equity</x:t>
  </x:si>
  <x:si>
    <x:t xml:space="preserve">Average total assets</x:t>
  </x:si>
  <x:si>
    <x:t xml:space="preserve">AVERAGE(startYear_total_assets, currentYear_assets_total)</x:t>
  </x:si>
  <x:si>
    <x:t xml:space="preserve">avg_total_assets</x:t>
  </x:si>
  <x:si>
    <x:t xml:space="preserve">Average total capitalization</x:t>
  </x:si>
  <x:si>
    <x:t xml:space="preserve">AVERAGE(startYear_total_capitalization, currentYear_total_capitalization)</x:t>
  </x:si>
  <x:si>
    <x:t xml:space="preserve">avg_total_capitalization</x:t>
  </x:si>
  <x:si>
    <x:t xml:space="preserve">Long-term debt + Equity</x:t>
  </x:si>
  <x:si>
    <x:t xml:space="preserve">currentYear_debt_long_term + currentYear_equity</x:t>
  </x:si>
  <x:si>
    <x:t xml:space="preserve">debt_long_term_equity</x:t>
  </x:si>
  <x:si>
    <x:t xml:space="preserve">Ratio</x:t>
  </x:si>
  <x:si>
    <x:t xml:space="preserve">Output Value</x:t>
  </x:si>
  <x:si>
    <x:t xml:space="preserve">Performance</x:t>
  </x:si>
  <x:si>
    <x:t xml:space="preserve">Market value added (MVA)</x:t>
  </x:si>
  <x:si>
    <x:t xml:space="preserve">market_capitalization − currentYear_equity</x:t>
  </x:si>
  <x:si>
    <x:t xml:space="preserve">RATIO_mva</x:t>
  </x:si>
  <x:si>
    <x:t xml:space="preserve">Market-to-book ratio</x:t>
  </x:si>
  <x:si>
    <x:t xml:space="preserve">market_capitalization / currentYear_equity</x:t>
  </x:si>
  <x:si>
    <x:t xml:space="preserve">RATIO_market_to_book</x:t>
  </x:si>
  <x:si>
    <x:t xml:space="preserve">Economic value added (EVA)</x:t>
  </x:si>
  <x:si>
    <x:t xml:space="preserve">currentYear_after_tax_operating_income − (cost_capital × startYear_total_capitalization)</x:t>
  </x:si>
  <x:si>
    <x:t xml:space="preserve">RATIO_eva</x:t>
  </x:si>
  <x:si>
    <x:t xml:space="preserve">Profitability</x:t>
  </x:si>
  <x:si>
    <x:t xml:space="preserve">Return on assets (ROA)</x:t>
  </x:si>
  <x:si>
    <x:t xml:space="preserve">currentYear_after_tax_operating_income / startYear_total_assets</x:t>
  </x:si>
  <x:si>
    <x:t xml:space="preserve">RATIO_roa_start</x:t>
  </x:si>
  <x:si>
    <x:t xml:space="preserve">Return on capital (ROC)</x:t>
  </x:si>
  <x:si>
    <x:t xml:space="preserve">currentYear_after_tax_operating_income / startYear_total_capitalization</x:t>
  </x:si>
  <x:si>
    <x:t xml:space="preserve">RATIO_roc_start</x:t>
  </x:si>
  <x:si>
    <x:t xml:space="preserve">Return on equity (ROE)</x:t>
  </x:si>
  <x:si>
    <x:t xml:space="preserve">INC_net / startYear_equity</x:t>
  </x:si>
  <x:si>
    <x:t xml:space="preserve">RATIO_roe_start</x:t>
  </x:si>
  <x:si>
    <x:t xml:space="preserve">Return on assets (ROA) [AVG]</x:t>
  </x:si>
  <x:si>
    <x:t xml:space="preserve">currentYear_after_tax_operating_income / avg_total_assets</x:t>
  </x:si>
  <x:si>
    <x:t xml:space="preserve">RATIO_roa_avg</x:t>
  </x:si>
  <x:si>
    <x:t xml:space="preserve">Return on capital (ROC) [AVG]</x:t>
  </x:si>
  <x:si>
    <x:t xml:space="preserve">currentYear_after_tax_operating_income / avg_total_capitalization</x:t>
  </x:si>
  <x:si>
    <x:t xml:space="preserve">RATIO_roc_avg</x:t>
  </x:si>
  <x:si>
    <x:t xml:space="preserve">Return on equity (ROE) [AVG]</x:t>
  </x:si>
  <x:si>
    <x:t xml:space="preserve">INC_net / avg_equity</x:t>
  </x:si>
  <x:si>
    <x:t xml:space="preserve">RATIO_roe_avg</x:t>
  </x:si>
  <x:si>
    <x:t xml:space="preserve">Efficiency</x:t>
  </x:si>
  <x:si>
    <x:t xml:space="preserve">Asset turnover</x:t>
  </x:si>
  <x:si>
    <x:t xml:space="preserve">INC_sales / startYear_total_assets</x:t>
  </x:si>
  <x:si>
    <x:t xml:space="preserve">RATIO_asset_turnover</x:t>
  </x:si>
  <x:si>
    <x:t xml:space="preserve">Receivables turnover</x:t>
  </x:si>
  <x:si>
    <x:t xml:space="preserve">INC_sales / startYear_receivables</x:t>
  </x:si>
  <x:si>
    <x:t xml:space="preserve">RATIO_receivables_turnover</x:t>
  </x:si>
  <x:si>
    <x:t xml:space="preserve">Average collection period (days)</x:t>
  </x:si>
  <x:si>
    <x:t xml:space="preserve">startYear_receivables / currentYear_daily_sales_average</x:t>
  </x:si>
  <x:si>
    <x:t xml:space="preserve">RATIO_avg_collection_period</x:t>
  </x:si>
  <x:si>
    <x:t xml:space="preserve">Inventory turnover</x:t>
  </x:si>
  <x:si>
    <x:t xml:space="preserve">INC_cost_goods_sold / startYear_inventory</x:t>
  </x:si>
  <x:si>
    <x:t xml:space="preserve">RATIO_inventory_turnover</x:t>
  </x:si>
  <x:si>
    <x:t xml:space="preserve">Days in inventory</x:t>
  </x:si>
  <x:si>
    <x:t xml:space="preserve">startYear_inventory / currentYear_cost_goods_sold_daily</x:t>
  </x:si>
  <x:si>
    <x:t xml:space="preserve">RATIO_days_inventory</x:t>
  </x:si>
  <x:si>
    <x:t xml:space="preserve">Profit margin</x:t>
  </x:si>
  <x:si>
    <x:t xml:space="preserve">INC_net / INC_sales</x:t>
  </x:si>
  <x:si>
    <x:t xml:space="preserve">RATIO_profit_margin</x:t>
  </x:si>
  <x:si>
    <x:t xml:space="preserve">Operating profit margin</x:t>
  </x:si>
  <x:si>
    <x:t xml:space="preserve">currentYear_after_tax_operating_income / INC_sales</x:t>
  </x:si>
  <x:si>
    <x:t xml:space="preserve">RATIO_operating_profit_margin</x:t>
  </x:si>
  <x:si>
    <x:t xml:space="preserve">Leverage</x:t>
  </x:si>
  <x:si>
    <x:t xml:space="preserve">Long-term debt ratio</x:t>
  </x:si>
  <x:si>
    <x:t xml:space="preserve">currentYear_debt_long_term / (currentYear_debt_long_term + currentYear_equity)</x:t>
  </x:si>
  <x:si>
    <x:t xml:space="preserve">RATIO_lt_debt_ratio</x:t>
  </x:si>
  <x:si>
    <x:t xml:space="preserve">Long-term debt-equity ratio</x:t>
  </x:si>
  <x:si>
    <x:t xml:space="preserve">currentYear_debt_long_term / currentYear_equity</x:t>
  </x:si>
  <x:si>
    <x:t xml:space="preserve">RATIO_debt_equity</x:t>
  </x:si>
  <x:si>
    <x:t xml:space="preserve">Total debt ratio</x:t>
  </x:si>
  <x:si>
    <x:t xml:space="preserve">currentYear_liabilities_total / currentYear_assets_total</x:t>
  </x:si>
  <x:si>
    <x:t xml:space="preserve">RATIO_total_debt_ratio</x:t>
  </x:si>
  <x:si>
    <x:t xml:space="preserve">Times interest earned</x:t>
  </x:si>
  <x:si>
    <x:t xml:space="preserve">INC_ebit / INC_interest_expense</x:t>
  </x:si>
  <x:si>
    <x:t xml:space="preserve">RATIO_times_interest_earned</x:t>
  </x:si>
  <x:si>
    <x:t xml:space="preserve">Cash coverage ratio</x:t>
  </x:si>
  <x:si>
    <x:t xml:space="preserve">(INC_ebit + INC_depreciation) / INC_interest_expense</x:t>
  </x:si>
  <x:si>
    <x:t xml:space="preserve">RATIO_cash_coverage</x:t>
  </x:si>
  <x:si>
    <x:t xml:space="preserve">Debt burden</x:t>
  </x:si>
  <x:si>
    <x:t xml:space="preserve">INC_net / currentYear_after_tax_operating_income</x:t>
  </x:si>
  <x:si>
    <x:t xml:space="preserve">RATIO_debt_burden</x:t>
  </x:si>
  <x:si>
    <x:t xml:space="preserve">Leverage ratio</x:t>
  </x:si>
  <x:si>
    <x:t xml:space="preserve">startYear_total_assets / startYear_equity</x:t>
  </x:si>
  <x:si>
    <x:t xml:space="preserve">RATIO_leverage</x:t>
  </x:si>
  <x:si>
    <x:t xml:space="preserve">Liquidity</x:t>
  </x:si>
  <x:si>
    <x:t xml:space="preserve">Net working capital to assets</x:t>
  </x:si>
  <x:si>
    <x:t xml:space="preserve">currentYear_working_capital_net / currentYear_assets_total</x:t>
  </x:si>
  <x:si>
    <x:t xml:space="preserve">RATIO_nwc_to_assets</x:t>
  </x:si>
  <x:si>
    <x:t xml:space="preserve">Current ratio</x:t>
  </x:si>
  <x:si>
    <x:t xml:space="preserve">currentYear_assets_current / currentYear_liabilities_current</x:t>
  </x:si>
  <x:si>
    <x:t xml:space="preserve">RATIO_current_ratio</x:t>
  </x:si>
  <x:si>
    <x:t xml:space="preserve">Quick ratio</x:t>
  </x:si>
  <x:si>
    <x:t xml:space="preserve">(currentYear_assets_current − currentYear_inventory) / currentYear_liabilities_current</x:t>
  </x:si>
  <x:si>
    <x:t xml:space="preserve">RATIO_quick_ratio</x:t>
  </x:si>
  <x:si>
    <x:t xml:space="preserve">Cash ratio</x:t>
  </x:si>
  <x:si>
    <x:t xml:space="preserve">currentYear_cash_marketable_securities / currentYear_liabilities_current</x:t>
  </x:si>
  <x:si>
    <x:t xml:space="preserve">RATIO_cash_ratio</x:t>
  </x:si>
  <x:si>
    <x:t xml:space="preserve">Du Pont System</x:t>
  </x:si>
  <x:si>
    <x:t xml:space="preserve">Return on assets (Du Pont)</x:t>
  </x:si>
  <x:si>
    <x:t xml:space="preserve">RATIO_asset_turnover × RATIO_operating_profit_margin</x:t>
  </x:si>
  <x:si>
    <x:t xml:space="preserve">RATIO_dupont_roa</x:t>
  </x:si>
  <x:si>
    <x:t xml:space="preserve">  └   └ Asset turnover</x:t>
  </x:si>
  <x:si>
    <x:t xml:space="preserve">→ from Efficiency section</x:t>
  </x:si>
  <x:si>
    <x:t xml:space="preserve">  └   └ Operating profit margin</x:t>
  </x:si>
  <x:si>
    <x:t xml:space="preserve">Return on equity (Du Pont)</x:t>
  </x:si>
  <x:si>
    <x:t xml:space="preserve">RATIO_leverage × RATIO_asset_turnover × RATIO_operating_profit_margin × RATIO_debt_burden</x:t>
  </x:si>
  <x:si>
    <x:t xml:space="preserve">RATIO_dupont_roe</x:t>
  </x:si>
  <x:si>
    <x:t xml:space="preserve">  └   └ Leverage ratio</x:t>
  </x:si>
  <x:si>
    <x:t xml:space="preserve">→ from Leverage section</x:t>
  </x:si>
  <x:si>
    <x:t xml:space="preserve">  └   └ Debt burden</x:t>
  </x:si>
  <x:si>
    <x:t xml:space="preserve">Color Key:</x:t>
  </x:si>
  <x:si>
    <x:t xml:space="preserve">Yellow = raw inputs / statement data</x:t>
  </x:si>
  <x:si>
    <x:t xml:space="preserve">Blue = assumptions</x:t>
  </x:si>
  <x:si>
    <x:t xml:space="preserve">Green = formulas / calculations</x:t>
  </x:si>
  <x:si>
    <x:t xml:space="preserve">Source:</x:t>
  </x:si>
  <x:si>
    <x:t xml:space="preserve">Apple 2024 Form 10-K (SEC EDGAR) + analyst assumptions</x:t>
  </x:si>
  <x:si>
    <x:t xml:space="preserve">Quick ratio uses CA − inventory</x:t>
  </x:si>
  <x:si>
    <x:t xml:space="preserve">Du Pont uses start-of-year leverage for consistency</x:t>
  </x:si>
  <x:si>
    <x:t xml:space="preserve">Notes &amp; Assumptions — Apple Inc. (AAPL)</x:t>
  </x:si>
  <x:si>
    <x:t xml:space="preserve">Company:</x:t>
  </x:si>
  <x:si>
    <x:t xml:space="preserve">Apple Inc.</x:t>
  </x:si>
  <x:si>
    <x:t xml:space="preserve">Ticker:</x:t>
  </x:si>
  <x:si>
    <x:t xml:space="preserve">AAPL</x:t>
  </x:si>
  <x:si>
    <x:t xml:space="preserve">Industry:</x:t>
  </x:si>
  <x:si>
    <x:t xml:space="preserve">Technology – Consumer Electronics &amp; Software</x:t>
  </x:si>
  <x:si>
    <x:t xml:space="preserve">Fiscal Year (current):</x:t>
  </x:si>
  <x:si>
    <x:t xml:space="preserve">Fiscal Year (prior):</x:t>
  </x:si>
  <x:si>
    <x:t xml:space="preserve">Data Source:</x:t>
  </x:si>
  <x:si>
    <x:t xml:space="preserve">Apple 10-K FY2024, SEC EDGAR</x:t>
  </x:si>
  <x:si>
    <x:t xml:space="preserve">Units:</x:t>
  </x:si>
  <x:si>
    <x:t xml:space="preserve">All figures in millions of US dollars unless otherwise noted.</x:t>
  </x:si>
  <x:si>
    <x:t xml:space="preserve">Tax Rate:</x:t>
  </x:si>
  <x:si>
    <x:t xml:space="preserve">24.1% — analyst tax-rate assumption used for NOPAT and EVA</x:t>
  </x:si>
  <x:si>
    <x:t xml:space="preserve">Cost of Capital:</x:t>
  </x:si>
  <x:si>
    <x:t xml:space="preserve">9.0% — estimated WACC / cost of capital assumption</x:t>
  </x:si>
  <x:si>
    <x:t xml:space="preserve">Share Price:</x:t>
  </x:si>
  <x:si>
    <x:t xml:space="preserve">$226.51 — scenario share-price assumption</x:t>
  </x:si>
  <x:si>
    <x:t xml:space="preserve">Shares Outstanding:</x:t>
  </x:si>
  <x:si>
    <x:t xml:space="preserve">15,116.786M shares — fiscal-year-end shares outstanding</x:t>
  </x:si>
  <x:si>
    <x:t xml:space="preserve">BUS-314 Project Use:</x:t>
  </x:si>
  <x:si>
    <x:t xml:space="preserve">This workbook provides real financial statement data for the Accounting &amp; Performance Ratios project.</x:t>
  </x:si>
  <x:si>
    <x:t xml:space="preserve">Stage 2 Status:</x:t>
  </x:si>
  <x:si>
    <x:t xml:space="preserve">Ratios tab completed with formulas, named ranges, and audit trail.</x:t>
  </x:si>
  <x:si>
    <x:t xml:space="preserve">Stage 3 Task:</x:t>
  </x:si>
  <x:si>
    <x:t xml:space="preserve">Document your model in a Technical Specification using the template-spec.md template.</x:t>
  </x:si>
  <x:si>
    <x:t xml:space="preserve">Stage 4 Task:</x:t>
  </x:si>
  <x:si>
    <x:t xml:space="preserve">Interpret results and write an executive memo with strategic recommendations.</x:t>
  </x:si>
  <x:si>
    <x:t xml:space="preserve">AI Usage:</x:t>
  </x:si>
  <x:si>
    <x:t xml:space="preserve">Workbook structure, formula completion, and formatting assistance provided with ChatGPT; verify before submission.</x:t>
  </x:si>
</x:sst>
</file>

<file path=xl/styles.xml><?xml version="1.0" encoding="utf-8"?>
<x:styleSheet xmlns:x="http://schemas.openxmlformats.org/spreadsheetml/2006/main">
  <x:numFmts count="10">
    <x:numFmt numFmtId="164" formatCode="General"/>
    <x:numFmt numFmtId="165" formatCode="#,##0;\(#,##0\);\-"/>
    <x:numFmt numFmtId="166" formatCode="#,##0"/>
    <x:numFmt numFmtId="167" formatCode="0.0%"/>
    <x:numFmt numFmtId="168" formatCode="0.0%;\(0.0%\);\-"/>
    <x:numFmt numFmtId="169" formatCode="#,##0.000"/>
    <x:numFmt numFmtId="170" formatCode="#,##0.00"/>
    <x:numFmt numFmtId="171" formatCode="#,##0.0"/>
    <x:numFmt numFmtId="172" formatCode="0.0"/>
    <x:numFmt numFmtId="173" formatCode="0.00\x"/>
  </x:numFmts>
  <x:fonts count="25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Open Sans"/>
    </x:font>
    <x:font>
      <x:b/>
      <x:sz val="13"/>
      <x:color rgb="FF1F3864"/>
      <x:name val="Open Sans"/>
    </x:font>
    <x:font>
      <x:b/>
      <x:sz val="10"/>
      <x:color rgb="FFFFFFFF"/>
      <x:name val="Open Sans"/>
    </x:font>
    <x:font>
      <x:b/>
      <x:sz val="9"/>
      <x:color rgb="FFFFFFFF"/>
      <x:name val="Open Sans"/>
    </x:font>
    <x:font>
      <x:sz val="8"/>
      <x:color rgb="FF666666"/>
      <x:name val="Open Sans"/>
    </x:font>
    <x:font>
      <x:sz val="10"/>
      <x:color rgb="FF000000"/>
      <x:name val="Open Sans"/>
    </x:font>
    <x:font>
      <x:sz val="10"/>
      <x:color rgb="FF0000FF"/>
      <x:name val="Open Sans"/>
    </x:font>
    <x:font>
      <x:b/>
      <x:sz val="10"/>
      <x:color rgb="FF000000"/>
      <x:name val="Open Sans"/>
    </x:font>
    <x:font>
      <x:b/>
      <x:sz val="10"/>
      <x:color rgb="FF1F3864"/>
      <x:name val="Open Sans"/>
    </x:font>
    <x:font>
      <x:b/>
      <x:sz val="11"/>
      <x:color rgb="FF1F3864"/>
      <x:name val="Open Sans"/>
    </x:font>
    <x:font>
      <x:i/>
      <x:sz val="9"/>
      <x:color rgb="FF999999"/>
      <x:name val="Open Sans"/>
    </x:font>
    <x:font>
      <x:sz val="10"/>
      <x:name val="Arial"/>
      <x:family val="2"/>
    </x:font>
    <x:font>
      <x:sz val="9"/>
      <x:color rgb="FF444444"/>
      <x:name val="Open Sans"/>
    </x:font>
    <x:font>
      <x:sz val="9"/>
      <x:color rgb="FF1F3864"/>
      <x:name val="Open Sans"/>
    </x:font>
    <x:font>
      <x:b/>
      <x:sz val="11"/>
      <x:color rgb="FF000000"/>
      <x:name val="Cambria"/>
    </x:font>
    <x:font>
      <x:sz val="9"/>
      <x:color rgb="FF777777"/>
      <x:name val="Open Sans"/>
    </x:font>
    <x:font>
      <x:sz val="11"/>
      <x:color rgb="FF000000"/>
      <x:name val="Cambria"/>
    </x:font>
    <x:font>
      <x:b/>
      <x:sz val="9"/>
      <x:color rgb="FF000000"/>
      <x:name val="Open Sans"/>
    </x:font>
    <x:font>
      <x:sz val="8"/>
      <x:color rgb="FF000000"/>
      <x:name val="Open Sans"/>
    </x:font>
    <x:font>
      <x:b/>
      <x:sz val="9"/>
      <x:color rgb="FF1F3864"/>
      <x:name val="Open Sans"/>
    </x:font>
    <x:font>
      <x:sz val="9"/>
      <x:color rgb="FF000000"/>
      <x:name val="Open Sans"/>
    </x:font>
  </x:fonts>
  <x:fills count="12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FFF"/>
      </x:patternFill>
    </x:fill>
    <x:fill>
      <x:patternFill patternType="solid">
        <x:fgColor rgb="FF2F5496"/>
      </x:patternFill>
    </x:fill>
    <x:fill>
      <x:patternFill patternType="solid">
        <x:fgColor rgb="FFFFFF00"/>
      </x:patternFill>
    </x:fill>
    <x:fill>
      <x:patternFill patternType="solid">
        <x:fgColor rgb="FFD6E4F7"/>
      </x:patternFill>
    </x:fill>
    <x:fill>
      <x:patternFill patternType="solid">
        <x:fgColor rgb="FFC6EFCE"/>
      </x:patternFill>
    </x:fill>
    <x:fill>
      <x:patternFill patternType="solid">
        <x:fgColor rgb="FFD9D9D9"/>
      </x:patternFill>
    </x:fill>
    <x:fill>
      <x:patternFill patternType="solid">
        <x:fgColor rgb="FFBDD7EE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57">
    <x:xf numFmtId="164" fontId="0" fillId="0" borderId="0" xfId="0" applyFont="0" applyBorder="0" applyAlignment="0" applyProtection="0">
      <x:alignment horizontal="general" vertical="bottom" wrapText="0" shrinkToFit="0"/>
    </x:xf>
    <x:xf numFmtId="164" fontId="4" fillId="0" borderId="0" xfId="0" applyFont="1" applyBorder="0" applyAlignment="0" applyProtection="0">
      <x:alignment horizontal="general" vertical="bottom" wrapText="0" shrinkToFit="0"/>
    </x:xf>
    <x:xf numFmtId="164" fontId="5" fillId="0" borderId="0" xfId="0" applyFont="1" applyBorder="0" applyAlignment="1" applyProtection="0">
      <x:alignment horizontal="left" vertical="center" wrapText="0" shrinkToFit="0"/>
    </x:xf>
    <x:xf numFmtId="164" fontId="6" fillId="2" borderId="1" xfId="0" applyFont="1" applyBorder="1" applyAlignment="1" applyProtection="0">
      <x:alignment horizontal="left" vertical="center" wrapText="0" shrinkToFit="0"/>
    </x:xf>
    <x:xf numFmtId="164" fontId="7" fillId="2" borderId="1" xfId="0" applyFont="1" applyBorder="1" applyAlignment="1" applyProtection="0">
      <x:alignment horizontal="center" vertical="center" wrapText="0" shrinkToFit="0"/>
    </x:xf>
    <x:xf numFmtId="164" fontId="4" fillId="3" borderId="0" xfId="0" applyFont="1" applyBorder="0" applyAlignment="0" applyProtection="0">
      <x:alignment horizontal="general" vertical="bottom" wrapText="0" shrinkToFit="0"/>
    </x:xf>
    <x:xf numFmtId="164" fontId="8" fillId="3" borderId="0" xfId="0" applyFont="1" applyBorder="0" applyAlignment="0" applyProtection="0">
      <x:alignment horizontal="general" vertical="bottom" wrapText="0" shrinkToFit="0"/>
    </x:xf>
    <x:xf numFmtId="164" fontId="6" fillId="4" borderId="0" xfId="0" applyFont="1" applyBorder="0" applyAlignment="1" applyProtection="0">
      <x:alignment horizontal="left" vertical="center" wrapText="0" shrinkToFit="0"/>
    </x:xf>
    <x:xf numFmtId="164" fontId="4" fillId="4" borderId="0" xfId="0" applyFont="1" applyBorder="0" applyAlignment="0" applyProtection="0">
      <x:alignment horizontal="general" vertical="bottom" wrapText="0" shrinkToFit="0"/>
    </x:xf>
    <x:xf numFmtId="164" fontId="9" fillId="3" borderId="0" xfId="0" applyFont="1" applyBorder="0" applyAlignment="1" applyProtection="0">
      <x:alignment horizontal="left" vertical="center" wrapText="0" shrinkToFit="0"/>
    </x:xf>
    <x:xf numFmtId="165" fontId="10" fillId="5" borderId="1" xfId="0" applyFont="1" applyBorder="1" applyAlignment="1" applyProtection="0">
      <x:alignment horizontal="right" vertical="center" wrapText="0" shrinkToFit="0"/>
    </x:xf>
    <x:xf numFmtId="164" fontId="11" fillId="6" borderId="0" xfId="0" applyFont="1" applyBorder="0" applyAlignment="1" applyProtection="0">
      <x:alignment horizontal="left" vertical="center" wrapText="0" shrinkToFit="0"/>
    </x:xf>
    <x:xf numFmtId="166" fontId="9" fillId="7" borderId="1" xfId="0" applyFont="1" applyBorder="1" applyAlignment="1" applyProtection="0">
      <x:alignment horizontal="right" vertical="center" wrapText="0" shrinkToFit="0"/>
    </x:xf>
    <x:xf numFmtId="166" fontId="12" fillId="7" borderId="1" xfId="0" applyFont="1" applyBorder="1" applyAlignment="1" applyProtection="0">
      <x:alignment horizontal="right" vertical="center" wrapText="0" shrinkToFit="0"/>
    </x:xf>
    <x:xf numFmtId="166" fontId="10" fillId="7" borderId="1" xfId="0" applyFont="1" applyBorder="1" applyAlignment="1" applyProtection="0">
      <x:alignment horizontal="right" vertical="center" wrapText="0" shrinkToFit="0"/>
    </x:xf>
    <x:xf numFmtId="164" fontId="13" fillId="2" borderId="0" xfId="0" applyFont="1" applyBorder="0" applyAlignment="1" applyProtection="0">
      <x:alignment horizontal="left" vertical="center" wrapText="0" shrinkToFit="0"/>
    </x:xf>
    <x:xf numFmtId="166" fontId="6" fillId="2" borderId="1" xfId="0" applyFont="1" applyBorder="1" applyAlignment="1" applyProtection="0">
      <x:alignment horizontal="right" vertical="center" wrapText="0" shrinkToFit="0"/>
    </x:xf>
    <x:xf numFmtId="164" fontId="14" fillId="0" borderId="0" xfId="0" applyFont="1" applyBorder="0" applyAlignment="0" applyProtection="0">
      <x:alignment horizontal="general" vertical="bottom" wrapText="0" shrinkToFit="0"/>
    </x:xf>
    <x:xf numFmtId="166" fontId="14" fillId="0" borderId="0" xfId="0" applyFont="1" applyBorder="0" applyAlignment="0" applyProtection="0">
      <x:alignment horizontal="general" vertical="bottom" wrapText="0" shrinkToFit="0"/>
    </x:xf>
    <x:xf numFmtId="164" fontId="8" fillId="0" borderId="0" xfId="0" applyFont="1" applyBorder="0" applyAlignment="1" applyProtection="0">
      <x:alignment horizontal="left" vertical="center" wrapText="0" shrinkToFit="0"/>
    </x:xf>
    <x:xf numFmtId="164" fontId="6" fillId="2" borderId="1" xfId="0" applyFont="1" applyBorder="1" applyAlignment="1" applyProtection="0">
      <x:alignment horizontal="center" vertical="center" wrapText="0" shrinkToFit="0"/>
    </x:xf>
    <x:xf numFmtId="164" fontId="8" fillId="0" borderId="0" xfId="0" applyFont="1" applyBorder="0" applyAlignment="0" applyProtection="0">
      <x:alignment horizontal="general" vertical="bottom" wrapText="0" shrinkToFit="0"/>
    </x:xf>
    <x:xf numFmtId="165" fontId="10" fillId="5" borderId="0" xfId="0" applyFont="1" applyBorder="0" applyAlignment="1" applyProtection="0">
      <x:alignment horizontal="right" vertical="center" wrapText="0" shrinkToFit="0"/>
    </x:xf>
    <x:xf numFmtId="167" fontId="9" fillId="8" borderId="0" xfId="0" applyFont="1" applyBorder="0" applyAlignment="1" applyProtection="0">
      <x:alignment horizontal="right" vertical="center" wrapText="0" shrinkToFit="0"/>
    </x:xf>
    <x:xf numFmtId="168" fontId="9" fillId="8" borderId="0" xfId="0" applyFont="1" applyBorder="0" applyAlignment="1" applyProtection="0">
      <x:alignment horizontal="right" vertical="center" wrapText="0" shrinkToFit="0"/>
    </x:xf>
    <x:xf numFmtId="165" fontId="11" fillId="7" borderId="0" xfId="0" applyFont="1" applyBorder="0" applyAlignment="1" applyProtection="0">
      <x:alignment horizontal="right" vertical="center" wrapText="0" shrinkToFit="0"/>
    </x:xf>
    <x:xf numFmtId="167" fontId="9" fillId="8" borderId="0" xfId="0" applyFont="1" applyBorder="0" applyAlignment="0" applyProtection="0">
      <x:alignment horizontal="general" vertical="bottom" wrapText="0" shrinkToFit="0"/>
    </x:xf>
    <x:xf numFmtId="166" fontId="9" fillId="7" borderId="0" xfId="0" applyFont="1" applyBorder="0" applyAlignment="1" applyProtection="0">
      <x:alignment horizontal="right" vertical="center" wrapText="0" shrinkToFit="0"/>
    </x:xf>
    <x:xf numFmtId="166" fontId="9" fillId="7" borderId="0" xfId="0" applyFont="1" applyBorder="0" applyAlignment="1" applyProtection="0">
      <x:alignment horizontal="right" vertical="bottom" wrapText="0" shrinkToFit="0"/>
    </x:xf>
    <x:xf numFmtId="164" fontId="8" fillId="3" borderId="0" xfId="0" applyFont="1" applyBorder="0" applyAlignment="1" applyProtection="0">
      <x:alignment horizontal="left" vertical="center" wrapText="0" shrinkToFit="0"/>
    </x:xf>
    <x:xf numFmtId="165" fontId="10" fillId="9" borderId="0" xfId="0" applyFont="1" applyBorder="0" applyAlignment="1" applyProtection="0">
      <x:alignment horizontal="right" vertical="center" wrapText="0" shrinkToFit="0"/>
    </x:xf>
    <x:xf numFmtId="164" fontId="16" fillId="3" borderId="0" xfId="0" applyFont="1" applyBorder="0" applyAlignment="1" applyProtection="0">
      <x:alignment horizontal="left" vertical="center" wrapText="0" shrinkToFit="0"/>
    </x:xf>
    <x:xf numFmtId="164" fontId="17" fillId="3" borderId="0" xfId="0" applyFont="1" applyBorder="0" applyAlignment="1" applyProtection="0">
      <x:alignment horizontal="left" vertical="center" wrapText="0" shrinkToFit="0"/>
    </x:xf>
    <x:xf numFmtId="169" fontId="10" fillId="9" borderId="0" xfId="0" applyFont="1" applyBorder="0" applyAlignment="1" applyProtection="0">
      <x:alignment horizontal="right" vertical="center" wrapText="0" shrinkToFit="0"/>
    </x:xf>
    <x:xf numFmtId="167" fontId="10" fillId="9" borderId="0" xfId="0" applyFont="1" applyBorder="0" applyAlignment="1" applyProtection="0">
      <x:alignment horizontal="right" vertical="center" wrapText="0" shrinkToFit="0"/>
    </x:xf>
    <x:xf numFmtId="170" fontId="9" fillId="7" borderId="0" xfId="0" applyFont="1" applyBorder="0" applyAlignment="1" applyProtection="0">
      <x:alignment horizontal="right" vertical="center" wrapText="0" shrinkToFit="0"/>
    </x:xf>
    <x:xf numFmtId="171" fontId="9" fillId="5" borderId="0" xfId="0" applyFont="1" applyBorder="0" applyAlignment="1" applyProtection="0">
      <x:alignment horizontal="right" vertical="center" wrapText="0" shrinkToFit="0"/>
    </x:xf>
    <x:xf numFmtId="171" fontId="9" fillId="7" borderId="0" xfId="0" applyFont="1" applyBorder="0" applyAlignment="1" applyProtection="0">
      <x:alignment horizontal="right" vertical="center" wrapText="0" shrinkToFit="0"/>
    </x:xf>
    <x:xf numFmtId="172" fontId="9" fillId="7" borderId="0" xfId="0" applyFont="1" applyBorder="0" applyAlignment="1" applyProtection="0">
      <x:alignment horizontal="right" vertical="center" wrapText="0" shrinkToFit="0"/>
    </x:xf>
    <x:xf numFmtId="171" fontId="18" fillId="10" borderId="1" xfId="0" applyFont="1" applyBorder="1" applyAlignment="1" applyProtection="0">
      <x:alignment horizontal="right" vertical="bottom" wrapText="0" shrinkToFit="0"/>
    </x:xf>
    <x:xf numFmtId="164" fontId="16" fillId="7" borderId="0" xfId="0" applyFont="1" applyBorder="0" applyAlignment="1" applyProtection="0">
      <x:alignment horizontal="general" vertical="bottom" wrapText="1" shrinkToFit="0"/>
    </x:xf>
    <x:xf numFmtId="164" fontId="17" fillId="7" borderId="0" xfId="0" applyFont="1" applyBorder="0" applyAlignment="1" applyProtection="0">
      <x:alignment horizontal="left" vertical="bottom" wrapText="0" shrinkToFit="0"/>
    </x:xf>
    <x:xf numFmtId="173" fontId="18" fillId="10" borderId="1" xfId="0" applyFont="1" applyBorder="1" applyAlignment="1" applyProtection="0">
      <x:alignment horizontal="right" vertical="bottom" wrapText="0" shrinkToFit="0"/>
    </x:xf>
    <x:xf numFmtId="167" fontId="18" fillId="10" borderId="1" xfId="0" applyFont="1" applyBorder="1" applyAlignment="1" applyProtection="0">
      <x:alignment horizontal="right" vertical="bottom" wrapText="0" shrinkToFit="0"/>
    </x:xf>
    <x:xf numFmtId="172" fontId="18" fillId="10" borderId="1" xfId="0" applyFont="1" applyBorder="1" applyAlignment="1" applyProtection="0">
      <x:alignment horizontal="right" vertical="bottom" wrapText="0" shrinkToFit="0"/>
    </x:xf>
    <x:xf numFmtId="164" fontId="19" fillId="3" borderId="0" xfId="0" applyFont="1" applyBorder="0" applyAlignment="1" applyProtection="0">
      <x:alignment horizontal="left" vertical="center" wrapText="0" shrinkToFit="0"/>
    </x:xf>
    <x:xf numFmtId="173" fontId="20" fillId="10" borderId="1" xfId="0" applyFont="1" applyBorder="1" applyAlignment="1" applyProtection="0">
      <x:alignment horizontal="right" vertical="bottom" wrapText="0" shrinkToFit="0"/>
    </x:xf>
    <x:xf numFmtId="167" fontId="20" fillId="10" borderId="1" xfId="0" applyFont="1" applyBorder="1" applyAlignment="1" applyProtection="0">
      <x:alignment horizontal="right" vertical="bottom" wrapText="0" shrinkToFit="0"/>
    </x:xf>
    <x:xf numFmtId="164" fontId="21" fillId="0" borderId="0" xfId="0" applyFont="1" applyBorder="0" applyAlignment="1" applyProtection="0">
      <x:alignment horizontal="general" vertical="bottom" wrapText="1" shrinkToFit="0"/>
    </x:xf>
    <x:xf numFmtId="164" fontId="22" fillId="9" borderId="1" xfId="0" applyFont="1" applyBorder="1" applyAlignment="1" applyProtection="0">
      <x:alignment horizontal="general" vertical="bottom" wrapText="1" shrinkToFit="0"/>
    </x:xf>
    <x:xf numFmtId="164" fontId="22" fillId="5" borderId="1" xfId="0" applyFont="1" applyBorder="1" applyAlignment="1" applyProtection="0">
      <x:alignment horizontal="general" vertical="bottom" wrapText="1" shrinkToFit="0"/>
    </x:xf>
    <x:xf numFmtId="164" fontId="22" fillId="11" borderId="1" xfId="0" applyFont="1" applyBorder="1" applyAlignment="1" applyProtection="0">
      <x:alignment horizontal="general" vertical="bottom" wrapText="1" shrinkToFit="0"/>
    </x:xf>
    <x:xf numFmtId="164" fontId="8" fillId="0" borderId="0" xfId="0" applyFont="1" applyBorder="0" applyAlignment="1" applyProtection="0">
      <x:alignment horizontal="general" vertical="bottom" wrapText="1" shrinkToFit="0"/>
    </x:xf>
    <x:xf numFmtId="164" fontId="4" fillId="0" borderId="0" xfId="0" applyFont="1" applyBorder="0" applyAlignment="1" applyProtection="0">
      <x:alignment horizontal="general" vertical="bottom" wrapText="1" shrinkToFit="0"/>
    </x:xf>
    <x:xf numFmtId="164" fontId="5" fillId="0" borderId="0" xfId="0" applyFont="1" applyBorder="0" applyAlignment="0" applyProtection="0">
      <x:alignment horizontal="general" vertical="bottom" wrapText="0" shrinkToFit="0"/>
    </x:xf>
    <x:xf numFmtId="164" fontId="23" fillId="0" borderId="0" xfId="0" applyFont="1" applyBorder="0" applyAlignment="1" applyProtection="0">
      <x:alignment horizontal="left" vertical="center" wrapText="0" shrinkToFit="0"/>
    </x:xf>
    <x:xf numFmtId="164" fontId="24" fillId="0" borderId="0" xfId="0" applyFont="1" applyBorder="0" applyAlignment="1" applyProtection="0">
      <x:alignment horizontal="left" vertical="center" wrapText="1" shrinkToFi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AAAAAA"/>
      <x:rgbColor rgb="FF777777"/>
      <x:rgbColor rgb="FF9999FF"/>
      <x:rgbColor rgb="FF993366"/>
      <x:rgbColor rgb="FFFFF2CC"/>
      <x:rgbColor rgb="FFD6E4F7"/>
      <x:rgbColor rgb="FF660066"/>
      <x:rgbColor rgb="FFFF8080"/>
      <x:rgbColor rgb="FF0066CC"/>
      <x:rgbColor rgb="FFBDD7E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9E1F2"/>
      <x:rgbColor rgb="FFC6EFCE"/>
      <x:rgbColor rgb="FFFFFF99"/>
      <x:rgbColor rgb="FF99CCFF"/>
      <x:rgbColor rgb="FFFF99CC"/>
      <x:rgbColor rgb="FFCC99FF"/>
      <x:rgbColor rgb="FFD9D9D9"/>
      <x:rgbColor rgb="FF3366FF"/>
      <x:rgbColor rgb="FF33CCCC"/>
      <x:rgbColor rgb="FF99CC00"/>
      <x:rgbColor rgb="FFFFCC00"/>
      <x:rgbColor rgb="FFFF9900"/>
      <x:rgbColor rgb="FFFF6600"/>
      <x:rgbColor rgb="FF666666"/>
      <x:rgbColor rgb="FF999999"/>
      <x:rgbColor rgb="FF1F3864"/>
      <x:rgbColor rgb="FF339966"/>
      <x:rgbColor rgb="FF003300"/>
      <x:rgbColor rgb="FF333300"/>
      <x:rgbColor rgb="FF993300"/>
      <x:rgbColor rgb="FF993366"/>
      <x:rgbColor rgb="FF2F5496"/>
      <x:rgbColor rgb="FF444444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fefccc55e4b9d" /><Relationship Type="http://schemas.openxmlformats.org/officeDocument/2006/relationships/theme" Target="/xl/theme/theme1.xml" Id="R8317b8a7e2324d93" /><Relationship Type="http://schemas.openxmlformats.org/officeDocument/2006/relationships/sharedStrings" Target="/xl/sharedStrings.xml" Id="R54c259547a224751" /><Relationship Type="http://schemas.openxmlformats.org/officeDocument/2006/relationships/worksheet" Target="/xl/worksheets/sheet1.xml" Id="R588b9f7578904026" /><Relationship Type="http://schemas.openxmlformats.org/officeDocument/2006/relationships/worksheet" Target="/xl/worksheets/sheet2.xml" Id="Raa1d6315c8324f02" /><Relationship Type="http://schemas.openxmlformats.org/officeDocument/2006/relationships/worksheet" Target="/xl/worksheets/sheet3.xml" Id="R4bc28ec614db4e52" /><Relationship Type="http://schemas.openxmlformats.org/officeDocument/2006/relationships/worksheet" Target="/xl/worksheets/sheet4.xml" Id="R87f4853765e24cbf" /><Relationship Type="http://schemas.openxmlformats.org/officeDocument/2006/relationships/worksheet" Target="/xl/worksheets/sheet5.xml" Id="R0e5a56159f094f32" /><Relationship Type="http://schemas.microsoft.com/office/2017/10/relationships/person" Target="/xl/persons/person.xml" Id="R83b906ad50224a3f" /></Relationships>
</file>

<file path=xl/persons/person.xml><?xml version="1.0" encoding="utf-8"?>
<xltc:personList xmlns:xltc="http://schemas.microsoft.com/office/spreadsheetml/2018/threadedcomments">
  <xltc:person displayName="Adam Stauffer" id="{94B50495-DBF1-E2AE-9F3D-29CDAB243E09}"/>
  <xltc:person displayName="OpenAI" id="{9A9DC24A-7E04-1056-05DA-424FF9494970}"/>
  <xltc:person displayName="Adam Stauffer" id="{97FD0D3E-16B5-0AA3-1FC2-5C315D30E1FB}"/>
  <xltc:person displayName="OpenAI" id="{B6783042-412B-8FC6-A59C-BBB611A093F2}"/>
</xltc:personList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edd4f33c2f3454c" /><Relationship Type="http://schemas.openxmlformats.org/officeDocument/2006/relationships/vmlDrawing" Target="/xl/drawings/vmldrawing.vml" Id="Rf7ab20b6053f40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8aea396287424da6" /><Relationship Type="http://schemas.openxmlformats.org/officeDocument/2006/relationships/vmlDrawing" Target="/xl/drawings/vmldrawing2.vml" Id="Rb165cd25243e46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6459e0b7fd814304" /><Relationship Type="http://schemas.openxmlformats.org/officeDocument/2006/relationships/vmlDrawing" Target="/xl/drawings/vmldrawing3.vml" Id="Ra80fdd54152e4c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2c54b94265d84dec" /><Relationship Type="http://schemas.openxmlformats.org/officeDocument/2006/relationships/vmlDrawing" Target="/xl/drawings/vmldrawing4.vml" Id="R4c0ed65bdc4640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25"/>
  <x:cols>
    <x:col min="1" max="1" width="2" hidden="0" customWidth="1"/>
    <x:col min="2" max="2" width="34" hidden="0" customWidth="1"/>
    <x:col min="3" max="4" width="16" hidden="0" customWidth="1"/>
    <x:col min="5" max="5" width="2" hidden="0" customWidth="1"/>
    <x:col min="6" max="6" width="30" hidden="0" customWidth="1"/>
    <x:col min="7" max="8" width="16" hidden="0" customWidth="1"/>
  </x:cols>
  <x:sheetData>
    <x:row r="1" ht="21.75" hidden="0" customHeight="1">
      <x:c r="A1" s="1"/>
      <x:c r="B1" s="2" t="s">
        <x:v>0</x:v>
      </x:c>
      <x:c r="C1" s="1"/>
      <x:c r="D1" s="1"/>
      <x:c r="E1" s="1"/>
      <x:c r="F1" s="1"/>
      <x:c r="G1" s="1"/>
      <x:c r="H1" s="1"/>
    </x:row>
    <x:row r="2" ht="18" hidden="0" customHeight="1">
      <x:c r="A2" s="1"/>
      <x:c r="B2" s="3" t="s">
        <x:v>1</x:v>
      </x:c>
      <x:c r="C2" s="4" t="s">
        <x:v>2</x:v>
      </x:c>
      <x:c r="D2" s="4" t="s">
        <x:v>3</x:v>
      </x:c>
      <x:c r="E2" s="5"/>
      <x:c r="F2" s="3" t="s">
        <x:v>4</x:v>
      </x:c>
      <x:c r="G2" s="4" t="s">
        <x:v>2</x:v>
      </x:c>
      <x:c r="H2" s="4" t="s">
        <x:v>3</x:v>
      </x:c>
    </x:row>
    <x:row r="3" ht="12" hidden="0" customHeight="1">
      <x:c r="A3" s="1"/>
      <x:c r="B3" s="6" t="s">
        <x:v>5</x:v>
      </x:c>
      <x:c r="C3" s="5"/>
      <x:c r="D3" s="5"/>
      <x:c r="E3" s="1"/>
      <x:c r="F3" s="6" t="s">
        <x:v>5</x:v>
      </x:c>
      <x:c r="G3" s="5"/>
      <x:c r="H3" s="5"/>
    </x:row>
    <x:row r="4" ht="15.75" hidden="0" customHeight="1">
      <x:c r="A4" s="1"/>
      <x:c r="B4" s="7" t="s">
        <x:v>6</x:v>
      </x:c>
      <x:c r="C4" s="8"/>
      <x:c r="D4" s="8"/>
      <x:c r="E4" s="5"/>
      <x:c r="F4" s="7" t="s">
        <x:v>7</x:v>
      </x:c>
      <x:c r="G4" s="8"/>
      <x:c r="H4" s="8"/>
    </x:row>
    <x:row r="5" ht="15" hidden="0" customHeight="1">
      <x:c r="A5" s="1"/>
      <x:c r="B5" s="9" t="s">
        <x:v>8</x:v>
      </x:c>
      <x:c r="C5" s="10" t="n">
        <x:v>65171</x:v>
      </x:c>
      <x:c r="D5" s="10" t="n">
        <x:v>61555</x:v>
      </x:c>
      <x:c r="E5" s="5"/>
      <x:c r="F5" s="9" t="s">
        <x:v>9</x:v>
      </x:c>
      <x:c r="G5" s="10" t="n">
        <x:v>10912</x:v>
      </x:c>
      <x:c r="H5" s="10" t="n">
        <x:v>9822</x:v>
      </x:c>
    </x:row>
    <x:row r="6" ht="15" hidden="0" customHeight="1">
      <x:c r="A6" s="1"/>
      <x:c r="B6" s="9" t="s">
        <x:v>10</x:v>
      </x:c>
      <x:c r="C6" s="10" t="n">
        <x:v>33410</x:v>
      </x:c>
      <x:c r="D6" s="10" t="n">
        <x:v>29508</x:v>
      </x:c>
      <x:c r="E6" s="5"/>
      <x:c r="F6" s="9" t="s">
        <x:v>11</x:v>
      </x:c>
      <x:c r="G6" s="10" t="n">
        <x:v>68960</x:v>
      </x:c>
      <x:c r="H6" s="10" t="n">
        <x:v>62611</x:v>
      </x:c>
    </x:row>
    <x:row r="7" ht="15" hidden="0" customHeight="1">
      <x:c r="A7" s="1"/>
      <x:c r="B7" s="9" t="s">
        <x:v>12</x:v>
      </x:c>
      <x:c r="C7" s="10" t="n">
        <x:v>7286</x:v>
      </x:c>
      <x:c r="D7" s="10" t="n">
        <x:v>6331</x:v>
      </x:c>
      <x:c r="E7" s="5"/>
      <x:c r="F7" s="9" t="s">
        <x:v>13</x:v>
      </x:c>
      <x:c r="G7" s="10" t="n">
        <x:v>96520</x:v>
      </x:c>
      <x:c r="H7" s="10" t="n">
        <x:v>72875</x:v>
      </x:c>
    </x:row>
    <x:row r="8" ht="15" hidden="0" customHeight="1">
      <x:c r="A8" s="1"/>
      <x:c r="B8" s="9" t="s">
        <x:v>14</x:v>
      </x:c>
      <x:c r="C8" s="10" t="n">
        <x:v>47120</x:v>
      </x:c>
      <x:c r="D8" s="10" t="n">
        <x:v>46172</x:v>
      </x:c>
      <x:c r="E8" s="5"/>
      <x:c r="F8" s="11" t="s">
        <x:v>15</x:v>
      </x:c>
      <x:c r="G8" s="12" t="n">
        <x:f aca="0">SUM(G5:G7)</x:f>
        <x:v>176392</x:v>
      </x:c>
      <x:c r="H8" s="12" t="n">
        <x:f aca="0">SUM(H5:H7)</x:f>
        <x:v>145308</x:v>
      </x:c>
    </x:row>
    <x:row r="9" ht="15" hidden="0" customHeight="1">
      <x:c r="A9" s="1"/>
      <x:c r="B9" s="11" t="s">
        <x:v>16</x:v>
      </x:c>
      <x:c r="C9" s="13" t="n">
        <x:f aca="0">SUM(C5:C8)</x:f>
        <x:v>152987</x:v>
      </x:c>
      <x:c r="D9" s="13" t="n">
        <x:f aca="0">SUM(D5:D8)</x:f>
        <x:v>143566</x:v>
      </x:c>
      <x:c r="E9" s="5"/>
      <x:c r="F9" s="1"/>
      <x:c r="G9" s="1"/>
      <x:c r="H9" s="1"/>
    </x:row>
    <x:row r="10" ht="6" hidden="0" customHeight="1">
      <x:c r="A10" s="1"/>
      <x:c r="B10" s="1"/>
      <x:c r="C10" s="1"/>
      <x:c r="D10" s="1"/>
      <x:c r="E10" s="5"/>
      <x:c r="F10" s="9" t="s">
        <x:v>17</x:v>
      </x:c>
      <x:c r="G10" s="10" t="n">
        <x:v>85750</x:v>
      </x:c>
      <x:c r="H10" s="10" t="n">
        <x:v>95281</x:v>
      </x:c>
    </x:row>
    <x:row r="11" ht="15.75" hidden="0" customHeight="1">
      <x:c r="A11" s="1"/>
      <x:c r="B11" s="7" t="s">
        <x:v>18</x:v>
      </x:c>
      <x:c r="C11" s="8"/>
      <x:c r="D11" s="8"/>
      <x:c r="E11" s="5"/>
      <x:c r="F11" s="9" t="s">
        <x:v>19</x:v>
      </x:c>
      <x:c r="G11" s="10" t="n">
        <x:v>45888</x:v>
      </x:c>
      <x:c r="H11" s="10" t="n">
        <x:v>49848</x:v>
      </x:c>
    </x:row>
    <x:row r="12" ht="15" hidden="0" customHeight="1">
      <x:c r="A12" s="1"/>
      <x:c r="B12" s="9" t="s">
        <x:v>20</x:v>
      </x:c>
      <x:c r="C12" s="10" t="n">
        <x:v>119128</x:v>
      </x:c>
      <x:c r="D12" s="10" t="n">
        <x:v>109528</x:v>
      </x:c>
      <x:c r="E12" s="5"/>
      <x:c r="F12" s="1"/>
      <x:c r="G12" s="1"/>
      <x:c r="H12" s="1"/>
    </x:row>
    <x:row r="13" ht="15" hidden="0" customHeight="1">
      <x:c r="A13" s="1"/>
      <x:c r="B13" s="9" t="s">
        <x:v>21</x:v>
      </x:c>
      <x:c r="C13" s="10" t="n">
        <x:v>73448</x:v>
      </x:c>
      <x:c r="D13" s="10" t="n">
        <x:v>65813</x:v>
      </x:c>
      <x:c r="E13" s="5"/>
      <x:c r="F13" s="11" t="s">
        <x:v>22</x:v>
      </x:c>
      <x:c r="G13" s="12" t="n">
        <x:f aca="0">G8+G10+G11</x:f>
        <x:v>308030</x:v>
      </x:c>
      <x:c r="H13" s="12" t="n">
        <x:f aca="0">H8+H10+H11</x:f>
        <x:v>290437</x:v>
      </x:c>
    </x:row>
    <x:row r="14" ht="15" hidden="0" customHeight="1">
      <x:c r="A14" s="1"/>
      <x:c r="B14" s="11" t="s">
        <x:v>23</x:v>
      </x:c>
      <x:c r="C14" s="13" t="n">
        <x:f aca="0">C12-C13</x:f>
        <x:v>45680</x:v>
      </x:c>
      <x:c r="D14" s="13" t="n">
        <x:f aca="0">D12-D13</x:f>
        <x:v>43715</x:v>
      </x:c>
      <x:c r="E14" s="5"/>
      <x:c r="F14" s="1"/>
      <x:c r="G14" s="1"/>
      <x:c r="H14" s="1"/>
    </x:row>
    <x:row r="15" ht="6" hidden="0" customHeight="1">
      <x:c r="A15" s="1"/>
      <x:c r="B15" s="1"/>
      <x:c r="C15" s="1"/>
      <x:c r="D15" s="1"/>
      <x:c r="E15" s="5"/>
      <x:c r="F15" s="7" t="s">
        <x:v>24</x:v>
      </x:c>
      <x:c r="G15" s="8"/>
      <x:c r="H15" s="8"/>
    </x:row>
    <x:row r="16" ht="15.75" hidden="0" customHeight="1">
      <x:c r="A16" s="1"/>
      <x:c r="B16" s="7" t="s">
        <x:v>25</x:v>
      </x:c>
      <x:c r="C16" s="8"/>
      <x:c r="D16" s="8"/>
      <x:c r="E16" s="5"/>
      <x:c r="F16" s="9" t="s">
        <x:v>26</x:v>
      </x:c>
      <x:c r="G16" s="10" t="n">
        <x:v>83276</x:v>
      </x:c>
      <x:c r="H16" s="10" t="n">
        <x:v>73812</x:v>
      </x:c>
    </x:row>
    <x:row r="17" ht="15" hidden="0" customHeight="1">
      <x:c r="A17" s="1"/>
      <x:c r="B17" s="9" t="s">
        <x:v>27</x:v>
      </x:c>
      <x:c r="C17" s="10" t="n">
        <x:v>0</x:v>
      </x:c>
      <x:c r="D17" s="10" t="n">
        <x:v>0</x:v>
      </x:c>
      <x:c r="E17" s="5"/>
      <x:c r="F17" s="9" t="s">
        <x:v>28</x:v>
      </x:c>
      <x:c r="G17" s="10" t="n">
        <x:v>-26326</x:v>
      </x:c>
      <x:c r="H17" s="10" t="n">
        <x:v>-11666</x:v>
      </x:c>
    </x:row>
    <x:row r="18" ht="15" hidden="0" customHeight="1">
      <x:c r="A18" s="1"/>
      <x:c r="B18" s="9" t="s">
        <x:v>29</x:v>
      </x:c>
      <x:c r="C18" s="14" t="n">
        <x:f aca="0">G20-C9-C14-C17</x:f>
        <x:v>166313</x:v>
      </x:c>
      <x:c r="D18" s="14" t="n">
        <x:f aca="0">H20-D9-D14-D17</x:f>
        <x:v>165302</x:v>
      </x:c>
      <x:c r="E18" s="5"/>
      <x:c r="F18" s="11" t="s">
        <x:v>30</x:v>
      </x:c>
      <x:c r="G18" s="12" t="n">
        <x:f aca="0">G16+G17</x:f>
        <x:v>56950</x:v>
      </x:c>
      <x:c r="H18" s="12" t="n">
        <x:f aca="0">H16+H17</x:f>
        <x:v>62146</x:v>
      </x:c>
    </x:row>
    <x:row r="19" ht="6" hidden="0" customHeight="1">
      <x:c r="A19" s="1"/>
      <x:c r="B19" s="1"/>
      <x:c r="C19" s="1"/>
      <x:c r="D19" s="1"/>
      <x:c r="E19" s="5"/>
      <x:c r="F19" s="1"/>
      <x:c r="G19" s="1"/>
      <x:c r="H19" s="1"/>
    </x:row>
    <x:row r="20" ht="15" hidden="0" customHeight="1">
      <x:c r="A20" s="1"/>
      <x:c r="B20" s="15" t="s">
        <x:v>31</x:v>
      </x:c>
      <x:c r="C20" s="16" t="n">
        <x:f aca="0">C9+C14+C17+C18</x:f>
        <x:v>364980</x:v>
      </x:c>
      <x:c r="D20" s="16" t="n">
        <x:f aca="0">D9+D14+D17+D18</x:f>
        <x:v>352583</x:v>
      </x:c>
      <x:c r="E20" s="5"/>
      <x:c r="F20" s="15" t="s">
        <x:v>32</x:v>
      </x:c>
      <x:c r="G20" s="16" t="n">
        <x:f aca="0">G13+G18</x:f>
        <x:v>364980</x:v>
      </x:c>
      <x:c r="H20" s="16" t="n">
        <x:f aca="0">H13+H18</x:f>
        <x:v>352583</x:v>
      </x:c>
    </x:row>
    <x:row r="21" ht="16.5" hidden="0" customHeight="1">
      <x:c r="A21" s="1"/>
      <x:c r="B21" s="17" t="s">
        <x:v>33</x:v>
      </x:c>
      <x:c r="C21" s="18" t="n">
        <x:f aca="0">C20-G20</x:f>
        <x:v>0</x:v>
      </x:c>
      <x:c r="D21" s="1"/>
      <x:c r="E21" s="1"/>
      <x:c r="F21" s="1"/>
      <x:c r="G21" s="1"/>
      <x:c r="H21" s="1"/>
    </x:row>
    <x:row r="22" ht="13.5" hidden="0" customHeight="1">
      <x:c r="A22" s="1"/>
      <x:c r="B22" s="19" t="s">
        <x:v>34</x:v>
      </x:c>
      <x:c r="C22" s="1"/>
      <x:c r="D22" s="1"/>
      <x:c r="E22" s="1"/>
      <x:c r="F22" s="1"/>
      <x:c r="G22" s="1"/>
      <x:c r="H22" s="1"/>
    </x:row>
  </x:sheetData>
  <x:pageMargins left="0.7" right="0.7" top="0.75" bottom="0.75" header="0.3" footer="0.3"/>
  <x:legacyDrawing xmlns:r="http://schemas.openxmlformats.org/officeDocument/2006/relationships" r:id="Rf7ab20b6053f400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25"/>
  <x:cols>
    <x:col min="1" max="1" width="2" hidden="0" customWidth="1"/>
    <x:col min="2" max="2" width="50" hidden="0" customWidth="1"/>
    <x:col min="3" max="3" width="16" hidden="0" customWidth="1"/>
    <x:col min="4" max="4" width="14" hidden="0" customWidth="1"/>
  </x:cols>
  <x:sheetData>
    <x:row r="1" ht="21.75" hidden="0" customHeight="1">
      <x:c r="A1" s="1"/>
      <x:c r="B1" s="2" t="s">
        <x:v>35</x:v>
      </x:c>
      <x:c r="C1" s="1"/>
      <x:c r="D1" s="1"/>
    </x:row>
    <x:row r="2" ht="18" hidden="0" customHeight="1">
      <x:c r="A2" s="1"/>
      <x:c r="B2" s="20" t="s">
        <x:v>36</x:v>
      </x:c>
      <x:c r="C2" s="20" t="s">
        <x:v>2</x:v>
      </x:c>
      <x:c r="D2" s="20" t="s">
        <x:v>37</x:v>
      </x:c>
    </x:row>
    <x:row r="3" ht="12" hidden="0" customHeight="1">
      <x:c r="A3" s="1"/>
      <x:c r="B3" s="21" t="s">
        <x:v>5</x:v>
      </x:c>
      <x:c r="C3" s="1"/>
      <x:c r="D3" s="1"/>
    </x:row>
    <x:row r="4" ht="15" hidden="0" customHeight="1">
      <x:c r="A4" s="1"/>
      <x:c r="B4" s="9" t="s">
        <x:v>38</x:v>
      </x:c>
      <x:c r="C4" s="22" t="n">
        <x:v>391035</x:v>
      </x:c>
      <x:c r="D4" s="23" t="n">
        <x:f aca="0">IF(C$4=0,0,C4/C$4)</x:f>
        <x:v>1</x:v>
      </x:c>
    </x:row>
    <x:row r="5" ht="15" hidden="0" customHeight="1">
      <x:c r="A5" s="1"/>
      <x:c r="B5" s="9" t="s">
        <x:v>39</x:v>
      </x:c>
      <x:c r="C5" s="22" t="n">
        <x:v>210352</x:v>
      </x:c>
      <x:c r="D5" s="23">
        <x:f aca="0">IF(C$4=0,0,C5/C$4)</x:f>
        <x:v>0.5379365018476607</x:v>
      </x:c>
    </x:row>
    <x:row r="6" ht="15" hidden="0" customHeight="1">
      <x:c r="A6" s="1"/>
      <x:c r="B6" s="9" t="s">
        <x:v>40</x:v>
      </x:c>
      <x:c r="C6" s="22" t="n">
        <x:v>31370</x:v>
      </x:c>
      <x:c r="D6" s="23">
        <x:f aca="0">IF(C$4=0,0,C6/C$4)</x:f>
        <x:v>0.08022299794136074</x:v>
      </x:c>
    </x:row>
    <x:row r="7" ht="15" hidden="0" customHeight="1">
      <x:c r="A7" s="1"/>
      <x:c r="B7" s="9" t="s">
        <x:v>41</x:v>
      </x:c>
      <x:c r="C7" s="22" t="n">
        <x:v>26097</x:v>
      </x:c>
      <x:c r="D7" s="24">
        <x:f aca="0">IF(C$4=0,0,C7/C$4)</x:f>
        <x:v>0.06673827151022287</x:v>
      </x:c>
    </x:row>
    <x:row r="8" ht="15" hidden="0" customHeight="1">
      <x:c r="A8" s="1"/>
      <x:c r="B8" s="11" t="s">
        <x:v>42</x:v>
      </x:c>
      <x:c r="C8" s="25" t="n">
        <x:f aca="0">C4-C5-C6-C7</x:f>
        <x:v>123216</x:v>
      </x:c>
      <x:c r="D8" s="23">
        <x:f aca="0">IF(C$4=0,0,C8/C$4)</x:f>
        <x:v>0.31510222870075566</x:v>
      </x:c>
    </x:row>
    <x:row r="9" ht="6" hidden="0" customHeight="1">
      <x:c r="A9" s="1"/>
      <x:c r="B9" s="1" t="s">
        <x:v>43</x:v>
      </x:c>
      <x:c r="C9" s="1" t="n">
        <x:v>11445</x:v>
      </x:c>
      <x:c r="D9" s="26">
        <x:f aca="0">IF(C$4=0,0,C9/C$4)</x:f>
        <x:v>0.029268479803598143</x:v>
      </x:c>
    </x:row>
    <x:row r="10" ht="15" hidden="0" customHeight="1">
      <x:c r="A10" s="1"/>
      <x:c r="B10" s="9" t="s">
        <x:v>44</x:v>
      </x:c>
      <x:c r="C10" s="22" t="n">
        <x:v>4200</x:v>
      </x:c>
      <x:c r="D10" s="23">
        <x:f aca="0">IF(C$4=0,0,C10/C$4)</x:f>
        <x:v>0.01074072653343051</x:v>
      </x:c>
    </x:row>
    <x:row r="11" ht="15" hidden="0" customHeight="1">
      <x:c r="A11" s="1"/>
      <x:c r="B11" s="9" t="s">
        <x:v>45</x:v>
      </x:c>
      <x:c r="C11" s="22" t="n">
        <x:v>3931</x:v>
      </x:c>
      <x:c r="D11" s="24" t="n">
        <x:f aca="0">IF(C$4=0,0,C11/C$4)</x:f>
        <x:v>0.0100528085721227</x:v>
      </x:c>
    </x:row>
    <x:row r="12" ht="15" hidden="0" customHeight="1">
      <x:c r="A12" s="1"/>
      <x:c r="B12" s="11" t="s">
        <x:v>46</x:v>
      </x:c>
      <x:c r="C12" s="27" t="n">
        <x:f aca="0">C8+C10-C11</x:f>
        <x:v>123485</x:v>
      </x:c>
      <x:c r="D12" s="23">
        <x:f aca="0">IF(C$4=0,0,C12/C$4)</x:f>
        <x:v>0.3157901466620635</x:v>
      </x:c>
    </x:row>
    <x:row r="13" ht="6" hidden="0" customHeight="1">
      <x:c r="A13" s="1"/>
      <x:c r="B13" s="1"/>
      <x:c r="C13" s="1"/>
      <x:c r="D13" s="26"/>
    </x:row>
    <x:row r="14" ht="15" hidden="0" customHeight="1">
      <x:c r="A14" s="1"/>
      <x:c r="B14" s="9" t="s">
        <x:v>47</x:v>
      </x:c>
      <x:c r="C14" s="22" t="n">
        <x:v>29749</x:v>
      </x:c>
      <x:c r="D14" s="24">
        <x:f aca="0">IF(C$4=0,0,C14/C$4)</x:f>
        <x:v>0.07607758896262483</x:v>
      </x:c>
    </x:row>
    <x:row r="15" ht="15" hidden="0" customHeight="1">
      <x:c r="A15" s="1"/>
      <x:c r="B15" s="11" t="s">
        <x:v>48</x:v>
      </x:c>
      <x:c r="C15" s="27" t="n">
        <x:f aca="0">C12-C14</x:f>
        <x:v>93736</x:v>
      </x:c>
      <x:c r="D15" s="23">
        <x:f aca="0">IF(C$4=0,0,C15/C$4)</x:f>
        <x:v>0.23971255769943867</x:v>
      </x:c>
    </x:row>
    <x:row r="16" ht="6" hidden="0" customHeight="1">
      <x:c r="A16" s="1"/>
      <x:c r="B16" s="1"/>
      <x:c r="C16" s="1"/>
      <x:c r="D16" s="26"/>
    </x:row>
    <x:row r="17" ht="15.75" hidden="0" customHeight="1">
      <x:c r="A17" s="1"/>
      <x:c r="B17" s="7" t="s">
        <x:v>49</x:v>
      </x:c>
      <x:c r="C17" s="28" t="n">
        <x:f aca="0">C15</x:f>
        <x:v>93736</x:v>
      </x:c>
      <x:c r="D17" s="26">
        <x:f aca="0">IF(C$4=0,0,C17/C$4)</x:f>
        <x:v>0.23971255769943867</x:v>
      </x:c>
    </x:row>
    <x:row r="18" ht="15" hidden="0" customHeight="1">
      <x:c r="A18" s="1"/>
      <x:c r="B18" s="9" t="s">
        <x:v>50</x:v>
      </x:c>
      <x:c r="C18" s="22" t="n">
        <x:v>15234</x:v>
      </x:c>
      <x:c r="D18" s="23">
        <x:f aca="0">IF(C$4=0,0,C18/C$4)</x:f>
        <x:v>0.038958149526257244</x:v>
      </x:c>
    </x:row>
    <x:row r="19" ht="15" hidden="0" customHeight="1">
      <x:c r="A19" s="1"/>
      <x:c r="B19" s="9" t="s">
        <x:v>51</x:v>
      </x:c>
      <x:c r="C19" s="27" t="n">
        <x:f aca="0">C17-C18</x:f>
        <x:v>78502</x:v>
      </x:c>
      <x:c r="D19" s="23">
        <x:f aca="0">IF(C$4=0,0,C19/C$4)</x:f>
        <x:v>0.20075440817318144</x:v>
      </x:c>
    </x:row>
    <x:row r="20" ht="16.5" hidden="0" customHeight="1">
      <x:c r="A20" s="1"/>
      <x:c r="B20" s="1"/>
      <x:c r="C20" s="1"/>
      <x:c r="D20" s="1"/>
    </x:row>
    <x:row r="21" ht="15" hidden="0" customHeight="1">
      <x:c r="A21" s="1"/>
      <x:c r="B21" s="21" t="s">
        <x:v>34</x:v>
      </x:c>
      <x:c r="C21" s="1"/>
      <x:c r="D21" s="1"/>
    </x:row>
  </x:sheetData>
  <x:pageMargins left="0.7" right="0.7" top="0.75" bottom="0.75" header="0.3" footer="0.3"/>
  <x:legacyDrawing xmlns:r="http://schemas.openxmlformats.org/officeDocument/2006/relationships" r:id="Rb165cd25243e469d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25"/>
  <x:cols>
    <x:col min="1" max="1" width="2" hidden="0" customWidth="1"/>
    <x:col min="2" max="2" width="44" hidden="0" customWidth="1"/>
    <x:col min="3" max="3" width="16" hidden="0" customWidth="1"/>
    <x:col min="4" max="4" width="20" hidden="0" customWidth="1"/>
  </x:cols>
  <x:sheetData>
    <x:row r="1" ht="21.75" hidden="0" customHeight="1">
      <x:c r="A1" s="1"/>
      <x:c r="B1" s="2" t="s">
        <x:v>52</x:v>
      </x:c>
      <x:c r="C1" s="1"/>
      <x:c r="D1" s="1"/>
    </x:row>
    <x:row r="2" ht="18" hidden="0" customHeight="1">
      <x:c r="A2" s="1"/>
      <x:c r="B2" s="20" t="s">
        <x:v>36</x:v>
      </x:c>
      <x:c r="C2" s="20" t="s">
        <x:v>2</x:v>
      </x:c>
      <x:c r="D2" s="20" t="s">
        <x:v>53</x:v>
      </x:c>
    </x:row>
    <x:row r="3" ht="12" hidden="0" customHeight="1">
      <x:c r="A3" s="1"/>
      <x:c r="B3" s="21" t="s">
        <x:v>5</x:v>
      </x:c>
      <x:c r="C3" s="1"/>
      <x:c r="D3" s="1"/>
    </x:row>
    <x:row r="4" ht="15.75" hidden="0" customHeight="1">
      <x:c r="A4" s="1"/>
      <x:c r="B4" s="7" t="s">
        <x:v>54</x:v>
      </x:c>
      <x:c r="C4" s="8"/>
      <x:c r="D4" s="8"/>
    </x:row>
    <x:row r="5" ht="15" hidden="0" customHeight="1">
      <x:c r="A5" s="1"/>
      <x:c r="B5" s="9" t="s">
        <x:v>48</x:v>
      </x:c>
      <x:c r="C5" s="22" t="n">
        <x:f aca="0">'Income Statement'!C15</x:f>
        <x:v>93736</x:v>
      </x:c>
      <x:c r="D5" s="29" t="s">
        <x:v>55</x:v>
      </x:c>
    </x:row>
    <x:row r="6" ht="15" hidden="0" customHeight="1">
      <x:c r="A6" s="1"/>
      <x:c r="B6" s="9" t="s">
        <x:v>56</x:v>
      </x:c>
      <x:c r="C6" s="22" t="n">
        <x:f aca="0">'Income Statement'!C9</x:f>
        <x:v>11445</x:v>
      </x:c>
      <x:c r="D6" s="29" t="s">
        <x:v>55</x:v>
      </x:c>
    </x:row>
    <x:row r="7" ht="15" hidden="0" customHeight="1">
      <x:c r="A7" s="1"/>
      <x:c r="B7" s="9" t="s">
        <x:v>57</x:v>
      </x:c>
      <x:c r="C7" s="22"/>
      <x:c r="D7" s="29"/>
    </x:row>
    <x:row r="8" ht="15" hidden="0" customHeight="1">
      <x:c r="A8" s="1"/>
      <x:c r="B8" s="9" t="s">
        <x:v>58</x:v>
      </x:c>
      <x:c r="C8" s="22" t="n">
        <x:v>-3788</x:v>
      </x:c>
      <x:c r="D8" s="29" t="s">
        <x:v>59</x:v>
      </x:c>
    </x:row>
    <x:row r="9" ht="15" hidden="0" customHeight="1">
      <x:c r="A9" s="1"/>
      <x:c r="B9" s="9" t="s">
        <x:v>60</x:v>
      </x:c>
      <x:c r="C9" s="22" t="n">
        <x:v>-1046</x:v>
      </x:c>
      <x:c r="D9" s="29" t="s">
        <x:v>59</x:v>
      </x:c>
    </x:row>
    <x:row r="10" ht="15" hidden="0" customHeight="1">
      <x:c r="A10" s="1"/>
      <x:c r="B10" s="9" t="s">
        <x:v>61</x:v>
      </x:c>
      <x:c r="C10" s="22" t="n">
        <x:v>-10375</x:v>
      </x:c>
      <x:c r="D10" s="29" t="s">
        <x:v>59</x:v>
      </x:c>
    </x:row>
    <x:row r="11" ht="15" hidden="0" customHeight="1">
      <x:c r="A11" s="1"/>
      <x:c r="B11" s="9" t="s">
        <x:v>62</x:v>
      </x:c>
      <x:c r="C11" s="22" t="n">
        <x:v>6020</x:v>
      </x:c>
      <x:c r="D11" s="29" t="s">
        <x:v>59</x:v>
      </x:c>
    </x:row>
    <x:row r="12" ht="15" hidden="0" customHeight="1">
      <x:c r="A12" s="1"/>
      <x:c r="B12" s="9" t="s">
        <x:v>63</x:v>
      </x:c>
      <x:c r="C12" s="22" t="n">
        <x:v>15552</x:v>
      </x:c>
      <x:c r="D12" s="29" t="s">
        <x:v>59</x:v>
      </x:c>
    </x:row>
    <x:row r="13" ht="15" hidden="0" customHeight="1">
      <x:c r="A13" s="1"/>
      <x:c r="B13" s="11" t="s">
        <x:v>64</x:v>
      </x:c>
      <x:c r="C13" s="27" t="n">
        <x:f aca="0">SUM(C8:C12)</x:f>
        <x:v>6363</x:v>
      </x:c>
      <x:c r="D13" s="29"/>
    </x:row>
    <x:row r="14" ht="15" hidden="0" customHeight="1">
      <x:c r="A14" s="1"/>
      <x:c r="B14" s="11" t="s">
        <x:v>65</x:v>
      </x:c>
      <x:c r="C14" s="27" t="n">
        <x:f aca="0">C5+C6+C13</x:f>
        <x:v>111544</x:v>
      </x:c>
      <x:c r="D14" s="29"/>
    </x:row>
    <x:row r="15" ht="6" hidden="0" customHeight="1">
      <x:c r="A15" s="1"/>
      <x:c r="B15" s="1"/>
      <x:c r="C15" s="1"/>
      <x:c r="D15" s="1"/>
    </x:row>
    <x:row r="16" ht="15.75" hidden="0" customHeight="1">
      <x:c r="A16" s="1"/>
      <x:c r="B16" s="7" t="s">
        <x:v>66</x:v>
      </x:c>
      <x:c r="C16" s="8"/>
      <x:c r="D16" s="8"/>
    </x:row>
    <x:row r="17" ht="15" hidden="0" customHeight="1">
      <x:c r="A17" s="1"/>
      <x:c r="B17" s="9" t="s">
        <x:v>67</x:v>
      </x:c>
      <x:c r="C17" s="22" t="n">
        <x:v>-9447</x:v>
      </x:c>
      <x:c r="D17" s="29"/>
    </x:row>
    <x:row r="18" ht="15" hidden="0" customHeight="1">
      <x:c r="A18" s="1"/>
      <x:c r="B18" s="9" t="s">
        <x:v>68</x:v>
      </x:c>
      <x:c r="C18" s="22" t="n">
        <x:v>13690</x:v>
      </x:c>
      <x:c r="D18" s="29"/>
    </x:row>
    <x:row r="19" ht="15" hidden="0" customHeight="1">
      <x:c r="A19" s="1"/>
      <x:c r="B19" s="9" t="s">
        <x:v>69</x:v>
      </x:c>
      <x:c r="C19" s="22" t="n">
        <x:v>-1308</x:v>
      </x:c>
      <x:c r="D19" s="29"/>
    </x:row>
    <x:row r="20" ht="15" hidden="0" customHeight="1">
      <x:c r="A20" s="1"/>
      <x:c r="B20" s="11" t="s">
        <x:v>70</x:v>
      </x:c>
      <x:c r="C20" s="27" t="n">
        <x:f aca="0">SUM(C17:C19)</x:f>
        <x:v>2935</x:v>
      </x:c>
      <x:c r="D20" s="29"/>
    </x:row>
    <x:row r="21" ht="6" hidden="0" customHeight="1">
      <x:c r="A21" s="1"/>
      <x:c r="B21" s="1"/>
      <x:c r="C21" s="1"/>
      <x:c r="D21" s="1"/>
    </x:row>
    <x:row r="22" ht="15.75" hidden="0" customHeight="1">
      <x:c r="A22" s="1"/>
      <x:c r="B22" s="7" t="s">
        <x:v>71</x:v>
      </x:c>
      <x:c r="C22" s="8"/>
      <x:c r="D22" s="8"/>
    </x:row>
    <x:row r="23" ht="15" hidden="0" customHeight="1">
      <x:c r="A23" s="1"/>
      <x:c r="B23" s="9" t="s">
        <x:v>72</x:v>
      </x:c>
      <x:c r="C23" s="22" t="n">
        <x:v>-9958</x:v>
      </x:c>
      <x:c r="D23" s="29"/>
    </x:row>
    <x:row r="24" ht="15" hidden="0" customHeight="1">
      <x:c r="A24" s="1"/>
      <x:c r="B24" s="9" t="s">
        <x:v>73</x:v>
      </x:c>
      <x:c r="C24" s="22" t="n">
        <x:v>3960</x:v>
      </x:c>
      <x:c r="D24" s="29"/>
    </x:row>
    <x:row r="25" ht="15" hidden="0" customHeight="1">
      <x:c r="A25" s="1"/>
      <x:c r="B25" s="9" t="s">
        <x:v>74</x:v>
      </x:c>
      <x:c r="C25" s="22" t="n">
        <x:v>-15234</x:v>
      </x:c>
      <x:c r="D25" s="29"/>
    </x:row>
    <x:row r="26" ht="15" hidden="0" customHeight="1">
      <x:c r="A26" s="1"/>
      <x:c r="B26" s="9" t="s">
        <x:v>75</x:v>
      </x:c>
      <x:c r="C26" s="22" t="n">
        <x:v>-94949</x:v>
      </x:c>
      <x:c r="D26" s="29"/>
    </x:row>
    <x:row r="27" ht="15" hidden="0" customHeight="1">
      <x:c r="A27" s="1"/>
      <x:c r="B27" s="9" t="s">
        <x:v>76</x:v>
      </x:c>
      <x:c r="C27" s="22" t="n">
        <x:v>-5802</x:v>
      </x:c>
      <x:c r="D27" s="29"/>
    </x:row>
    <x:row r="28" ht="15" hidden="0" customHeight="1">
      <x:c r="A28" s="1"/>
      <x:c r="B28" s="11" t="s">
        <x:v>77</x:v>
      </x:c>
      <x:c r="C28" s="27" t="n">
        <x:f aca="0">SUM(C23:C27)</x:f>
        <x:v>-121983</x:v>
      </x:c>
      <x:c r="D28" s="29"/>
    </x:row>
    <x:row r="29" ht="6" hidden="0" customHeight="1">
      <x:c r="A29" s="1"/>
      <x:c r="B29" s="1"/>
      <x:c r="C29" s="1"/>
      <x:c r="D29" s="1"/>
    </x:row>
    <x:row r="30" ht="15" hidden="0" customHeight="1">
      <x:c r="A30" s="1"/>
      <x:c r="B30" s="11" t="s">
        <x:v>78</x:v>
      </x:c>
      <x:c r="C30" s="27" t="n">
        <x:f aca="0">C14+C20+C28</x:f>
        <x:v>-7504</x:v>
      </x:c>
      <x:c r="D30" s="29"/>
    </x:row>
    <x:row r="31" ht="16.5" hidden="0" customHeight="1">
      <x:c r="A31" s="1"/>
      <x:c r="B31" s="1"/>
      <x:c r="C31" s="1"/>
      <x:c r="D31" s="1"/>
    </x:row>
    <x:row r="32" ht="15" hidden="0" customHeight="1">
      <x:c r="A32" s="1"/>
      <x:c r="B32" s="21" t="s">
        <x:v>34</x:v>
      </x:c>
      <x:c r="C32" s="1"/>
      <x:c r="D32" s="1"/>
    </x:row>
  </x:sheetData>
  <x:pageMargins left="0.7" right="0.7" top="0.75" bottom="0.75" header="0.3" footer="0.3"/>
  <x:legacyDrawing xmlns:r="http://schemas.openxmlformats.org/officeDocument/2006/relationships" r:id="Ra80fdd54152e4cb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25"/>
  <x:cols>
    <x:col min="1" max="1" width="2" hidden="0" customWidth="1"/>
    <x:col min="2" max="2" width="38" hidden="0" customWidth="1"/>
    <x:col min="3" max="3" width="16" hidden="0" customWidth="1"/>
    <x:col min="4" max="4" width="54" hidden="0" customWidth="1"/>
    <x:col min="5" max="5" width="30" hidden="0" customWidth="1"/>
  </x:cols>
  <x:sheetData>
    <x:row r="1" ht="21.75" hidden="0" customHeight="1">
      <x:c r="A1" s="1"/>
      <x:c r="B1" s="2" t="s">
        <x:v>79</x:v>
      </x:c>
      <x:c r="C1" s="1"/>
      <x:c r="D1" s="1"/>
      <x:c r="E1" s="1"/>
    </x:row>
    <x:row r="2" ht="18" hidden="0" customHeight="1">
      <x:c r="A2" s="1"/>
      <x:c r="B2" s="20" t="s">
        <x:v>80</x:v>
      </x:c>
      <x:c r="C2" s="20" t="s">
        <x:v>81</x:v>
      </x:c>
      <x:c r="D2" s="20" t="s">
        <x:v>82</x:v>
      </x:c>
      <x:c r="E2" s="20" t="s">
        <x:v>83</x:v>
      </x:c>
    </x:row>
    <x:row r="3" ht="15" hidden="0" customHeight="1">
      <x:c r="A3" s="1"/>
      <x:c r="B3" s="9" t="s">
        <x:v>84</x:v>
      </x:c>
      <x:c r="C3" s="30" t="n">
        <x:v>2024</x:v>
      </x:c>
      <x:c r="D3" s="31"/>
      <x:c r="E3" s="32" t="s">
        <x:v>85</x:v>
      </x:c>
    </x:row>
    <x:row r="4" ht="15" hidden="0" customHeight="1">
      <x:c r="A4" s="1"/>
      <x:c r="B4" s="9" t="s">
        <x:v>86</x:v>
      </x:c>
      <x:c r="C4" s="30" t="n">
        <x:v>2023</x:v>
      </x:c>
      <x:c r="D4" s="31" t="s">
        <x:v>87</x:v>
      </x:c>
      <x:c r="E4" s="32" t="s">
        <x:v>88</x:v>
      </x:c>
    </x:row>
    <x:row r="5" ht="15" hidden="0" customHeight="1">
      <x:c r="A5" s="1"/>
      <x:c r="B5" s="9" t="s">
        <x:v>89</x:v>
      </x:c>
      <x:c r="C5" s="33" t="n">
        <x:v>226.51</x:v>
      </x:c>
      <x:c r="D5" s="31"/>
      <x:c r="E5" s="32" t="s">
        <x:v>90</x:v>
      </x:c>
    </x:row>
    <x:row r="6" ht="15" hidden="0" customHeight="1">
      <x:c r="A6" s="1"/>
      <x:c r="B6" s="9" t="s">
        <x:v>91</x:v>
      </x:c>
      <x:c r="C6" s="33" t="n">
        <x:v>15116.786</x:v>
      </x:c>
      <x:c r="D6" s="31"/>
      <x:c r="E6" s="32" t="s">
        <x:v>92</x:v>
      </x:c>
    </x:row>
    <x:row r="7" ht="15" hidden="0" customHeight="1">
      <x:c r="A7" s="1"/>
      <x:c r="B7" s="9" t="s">
        <x:v>93</x:v>
      </x:c>
      <x:c r="C7" s="34" t="n">
        <x:v>0.09</x:v>
      </x:c>
      <x:c r="D7" s="31"/>
      <x:c r="E7" s="32" t="s">
        <x:v>94</x:v>
      </x:c>
    </x:row>
    <x:row r="8" ht="15" hidden="0" customHeight="1">
      <x:c r="A8" s="1"/>
      <x:c r="B8" s="9" t="s">
        <x:v>95</x:v>
      </x:c>
      <x:c r="C8" s="34" t="n">
        <x:v>0.241</x:v>
      </x:c>
      <x:c r="D8" s="31"/>
      <x:c r="E8" s="32" t="s">
        <x:v>96</x:v>
      </x:c>
    </x:row>
    <x:row r="9" ht="15" hidden="0" customHeight="1">
      <x:c r="A9" s="1"/>
      <x:c r="B9" s="9" t="s">
        <x:v>97</x:v>
      </x:c>
      <x:c r="C9" s="35" t="n">
        <x:f aca="0">C5*C6</x:f>
        <x:v>3424103.19686</x:v>
      </x:c>
      <x:c r="D9" s="31" t="s">
        <x:v>98</x:v>
      </x:c>
      <x:c r="E9" s="32" t="s">
        <x:v>99</x:v>
      </x:c>
    </x:row>
    <x:row r="10" ht="6" hidden="0" customHeight="1">
      <x:c r="A10" s="1"/>
      <x:c r="B10" s="1"/>
      <x:c r="C10" s="1"/>
      <x:c r="D10" s="1"/>
      <x:c r="E10" s="1"/>
    </x:row>
    <x:row r="11" ht="15.75" hidden="0" customHeight="1">
      <x:c r="A11" s="1"/>
      <x:c r="B11" s="7" t="s">
        <x:v>100</x:v>
      </x:c>
      <x:c r="C11" s="8"/>
      <x:c r="D11" s="8"/>
      <x:c r="E11" s="8"/>
    </x:row>
    <x:row r="12" ht="15" hidden="0" customHeight="1">
      <x:c r="A12" s="1"/>
      <x:c r="B12" s="9" t="s">
        <x:v>101</x:v>
      </x:c>
      <x:c r="C12" s="36" t="n">
        <x:f aca="0">'Balance Sheet'!H18</x:f>
        <x:v>62146</x:v>
      </x:c>
      <x:c r="D12" s="31" t="s">
        <x:v>102</x:v>
      </x:c>
      <x:c r="E12" s="32" t="s">
        <x:v>103</x:v>
      </x:c>
    </x:row>
    <x:row r="13" ht="15" hidden="0" customHeight="1">
      <x:c r="A13" s="1"/>
      <x:c r="B13" s="9" t="s">
        <x:v>104</x:v>
      </x:c>
      <x:c r="C13" s="36" t="n">
        <x:f aca="0">'Balance Sheet'!D7</x:f>
        <x:v>6331</x:v>
      </x:c>
      <x:c r="D13" s="31" t="s">
        <x:v>105</x:v>
      </x:c>
      <x:c r="E13" s="32" t="s">
        <x:v>106</x:v>
      </x:c>
    </x:row>
    <x:row r="14" ht="15" hidden="0" customHeight="1">
      <x:c r="A14" s="1"/>
      <x:c r="B14" s="9" t="s">
        <x:v>107</x:v>
      </x:c>
      <x:c r="C14" s="36" t="n">
        <x:f aca="0">'Balance Sheet'!D6</x:f>
        <x:v>29508</x:v>
      </x:c>
      <x:c r="D14" s="31" t="s">
        <x:v>108</x:v>
      </x:c>
      <x:c r="E14" s="32" t="s">
        <x:v>109</x:v>
      </x:c>
    </x:row>
    <x:row r="15" ht="15" hidden="0" customHeight="1">
      <x:c r="A15" s="1"/>
      <x:c r="B15" s="9" t="s">
        <x:v>110</x:v>
      </x:c>
      <x:c r="C15" s="36" t="n">
        <x:f aca="0">'Balance Sheet'!D20</x:f>
        <x:v>352583</x:v>
      </x:c>
      <x:c r="D15" s="31" t="s">
        <x:v>111</x:v>
      </x:c>
      <x:c r="E15" s="32" t="s">
        <x:v>112</x:v>
      </x:c>
    </x:row>
    <x:row r="16" ht="15" hidden="0" customHeight="1">
      <x:c r="A16" s="1"/>
      <x:c r="B16" s="9" t="s">
        <x:v>113</x:v>
      </x:c>
      <x:c r="C16" s="36" t="n">
        <x:f aca="0">'Balance Sheet'!H10+'Balance Sheet'!H18</x:f>
        <x:v>157427</x:v>
      </x:c>
      <x:c r="D16" s="31" t="s">
        <x:v>114</x:v>
      </x:c>
      <x:c r="E16" s="32" t="s">
        <x:v>115</x:v>
      </x:c>
    </x:row>
    <x:row r="17" ht="6" hidden="0" customHeight="1">
      <x:c r="A17" s="1"/>
      <x:c r="B17" s="1"/>
      <x:c r="C17" s="1"/>
      <x:c r="D17" s="1"/>
      <x:c r="E17" s="1"/>
    </x:row>
    <x:row r="18" ht="15.75" hidden="0" customHeight="1">
      <x:c r="A18" s="1"/>
      <x:c r="B18" s="7" t="s">
        <x:v>116</x:v>
      </x:c>
      <x:c r="C18" s="8"/>
      <x:c r="D18" s="8"/>
      <x:c r="E18" s="8"/>
    </x:row>
    <x:row r="19" ht="15" hidden="0" customHeight="1">
      <x:c r="A19" s="1"/>
      <x:c r="B19" s="9" t="s">
        <x:v>117</x:v>
      </x:c>
      <x:c r="C19" s="37" t="n">
        <x:f aca="0">INC_ebit*(1-tax_rate)</x:f>
        <x:v>93520.944</x:v>
      </x:c>
      <x:c r="D19" s="31" t="s">
        <x:v>118</x:v>
      </x:c>
      <x:c r="E19" s="32" t="s">
        <x:v>119</x:v>
      </x:c>
    </x:row>
    <x:row r="20" ht="15" hidden="0" customHeight="1">
      <x:c r="A20" s="1"/>
      <x:c r="B20" s="9" t="s">
        <x:v>120</x:v>
      </x:c>
      <x:c r="C20" s="38">
        <x:f aca="0">INC_sales/365</x:f>
        <x:v>1071.3287671232877</x:v>
      </x:c>
      <x:c r="D20" s="31" t="s">
        <x:v>121</x:v>
      </x:c>
      <x:c r="E20" s="32" t="s">
        <x:v>122</x:v>
      </x:c>
    </x:row>
    <x:row r="21" ht="15" hidden="0" customHeight="1">
      <x:c r="A21" s="1"/>
      <x:c r="B21" s="9" t="s">
        <x:v>123</x:v>
      </x:c>
      <x:c r="C21" s="37" t="n">
        <x:f aca="0">BAL_equity_shareholders_2024</x:f>
        <x:v>56950</x:v>
      </x:c>
      <x:c r="D21" s="31" t="s">
        <x:v>124</x:v>
      </x:c>
      <x:c r="E21" s="32" t="s">
        <x:v>125</x:v>
      </x:c>
    </x:row>
    <x:row r="22" ht="15" hidden="0" customHeight="1">
      <x:c r="A22" s="1"/>
      <x:c r="B22" s="9" t="s">
        <x:v>126</x:v>
      </x:c>
      <x:c r="C22" s="37" t="n">
        <x:f aca="0">BAL_cash_marketable_securities_2024</x:f>
        <x:v>65171</x:v>
      </x:c>
      <x:c r="D22" s="31" t="s">
        <x:v>127</x:v>
      </x:c>
      <x:c r="E22" s="32" t="s">
        <x:v>128</x:v>
      </x:c>
    </x:row>
    <x:row r="23" ht="15" hidden="0" customHeight="1">
      <x:c r="A23" s="1"/>
      <x:c r="B23" s="9" t="s">
        <x:v>129</x:v>
      </x:c>
      <x:c r="C23" s="37" t="n">
        <x:f aca="0">BAL_assets_current_2024</x:f>
        <x:v>152987</x:v>
      </x:c>
      <x:c r="D23" s="31" t="s">
        <x:v>130</x:v>
      </x:c>
      <x:c r="E23" s="32" t="s">
        <x:v>131</x:v>
      </x:c>
    </x:row>
    <x:row r="24" ht="15" hidden="0" customHeight="1">
      <x:c r="A24" s="1"/>
      <x:c r="B24" s="9" t="s">
        <x:v>132</x:v>
      </x:c>
      <x:c r="C24" s="37" t="n">
        <x:f aca="0">BAL_liabilities_current_2024</x:f>
        <x:v>176392</x:v>
      </x:c>
      <x:c r="D24" s="31" t="s">
        <x:v>133</x:v>
      </x:c>
      <x:c r="E24" s="32" t="s">
        <x:v>134</x:v>
      </x:c>
    </x:row>
    <x:row r="25" ht="15" hidden="0" customHeight="1">
      <x:c r="A25" s="1"/>
      <x:c r="B25" s="9" t="s">
        <x:v>135</x:v>
      </x:c>
      <x:c r="C25" s="37">
        <x:f aca="0">INC_cost_goods_sold/365</x:f>
        <x:v>576.3068493150685</x:v>
      </x:c>
      <x:c r="D25" s="31" t="s">
        <x:v>136</x:v>
      </x:c>
      <x:c r="E25" s="32" t="s">
        <x:v>137</x:v>
      </x:c>
    </x:row>
    <x:row r="26" ht="15" hidden="0" customHeight="1">
      <x:c r="A26" s="1"/>
      <x:c r="B26" s="9" t="s">
        <x:v>138</x:v>
      </x:c>
      <x:c r="C26" s="37" t="n">
        <x:f aca="0">BAL_debt_long_term_2024</x:f>
        <x:v>85750</x:v>
      </x:c>
      <x:c r="D26" s="31" t="s">
        <x:v>139</x:v>
      </x:c>
      <x:c r="E26" s="32" t="s">
        <x:v>140</x:v>
      </x:c>
    </x:row>
    <x:row r="27" ht="15" hidden="0" customHeight="1">
      <x:c r="A27" s="1"/>
      <x:c r="B27" s="9" t="s">
        <x:v>141</x:v>
      </x:c>
      <x:c r="C27" s="37" t="n">
        <x:f aca="0">BAL_assets_current_2024-BAL_liabilities_current_2024</x:f>
        <x:v>-23405</x:v>
      </x:c>
      <x:c r="D27" s="31" t="s">
        <x:v>142</x:v>
      </x:c>
      <x:c r="E27" s="32" t="s">
        <x:v>143</x:v>
      </x:c>
    </x:row>
    <x:row r="28" ht="15" hidden="0" customHeight="1">
      <x:c r="A28" s="1"/>
      <x:c r="B28" s="9" t="s">
        <x:v>144</x:v>
      </x:c>
      <x:c r="C28" s="37" t="n">
        <x:f aca="0">BAL_assets_total_2024</x:f>
        <x:v>364980</x:v>
      </x:c>
      <x:c r="D28" s="31" t="s">
        <x:v>145</x:v>
      </x:c>
      <x:c r="E28" s="32" t="s">
        <x:v>146</x:v>
      </x:c>
    </x:row>
    <x:row r="29" ht="15" hidden="0" customHeight="1">
      <x:c r="A29" s="1"/>
      <x:c r="B29" s="9" t="s">
        <x:v>147</x:v>
      </x:c>
      <x:c r="C29" s="37" t="n">
        <x:f aca="0">BAL_debt_long_term_2024+BAL_equity_shareholders_2024</x:f>
        <x:v>142700</x:v>
      </x:c>
      <x:c r="D29" s="31" t="s">
        <x:v>148</x:v>
      </x:c>
      <x:c r="E29" s="32" t="s">
        <x:v>149</x:v>
      </x:c>
    </x:row>
    <x:row r="30" ht="15" hidden="0" customHeight="1">
      <x:c r="A30" s="1"/>
      <x:c r="B30" s="9" t="s">
        <x:v>150</x:v>
      </x:c>
      <x:c r="C30" s="37" t="n">
        <x:f aca="0">BAL_liabilities_total_2024</x:f>
        <x:v>308030</x:v>
      </x:c>
      <x:c r="D30" s="31" t="s">
        <x:v>151</x:v>
      </x:c>
      <x:c r="E30" s="32" t="s">
        <x:v>152</x:v>
      </x:c>
    </x:row>
    <x:row r="31" ht="6" hidden="0" customHeight="1">
      <x:c r="A31" s="1"/>
      <x:c r="B31" s="1"/>
      <x:c r="C31" s="1"/>
      <x:c r="D31" s="1"/>
      <x:c r="E31" s="1"/>
    </x:row>
    <x:row r="32" ht="15.75" hidden="0" customHeight="1">
      <x:c r="A32" s="1"/>
      <x:c r="B32" s="7" t="s">
        <x:v>153</x:v>
      </x:c>
      <x:c r="C32" s="8"/>
      <x:c r="D32" s="8"/>
      <x:c r="E32" s="8"/>
    </x:row>
    <x:row r="33" ht="15" hidden="0" customHeight="1">
      <x:c r="A33" s="1"/>
      <x:c r="B33" s="9" t="s">
        <x:v>154</x:v>
      </x:c>
      <x:c r="C33" s="37" t="n">
        <x:f aca="0">AVERAGE(startYear_equity,currentYear_equity)</x:f>
        <x:v>59548</x:v>
      </x:c>
      <x:c r="D33" s="31" t="s">
        <x:v>155</x:v>
      </x:c>
      <x:c r="E33" s="32" t="s">
        <x:v>156</x:v>
      </x:c>
    </x:row>
    <x:row r="34" ht="15" hidden="0" customHeight="1">
      <x:c r="A34" s="1"/>
      <x:c r="B34" s="9" t="s">
        <x:v>157</x:v>
      </x:c>
      <x:c r="C34" s="37" t="n">
        <x:f aca="0">AVERAGE(startYear_total_assets,currentYear_assets_total)</x:f>
        <x:v>358781.5</x:v>
      </x:c>
      <x:c r="D34" s="31" t="s">
        <x:v>158</x:v>
      </x:c>
      <x:c r="E34" s="32" t="s">
        <x:v>159</x:v>
      </x:c>
    </x:row>
    <x:row r="35" ht="15" hidden="0" customHeight="1">
      <x:c r="A35" s="1"/>
      <x:c r="B35" s="9" t="s">
        <x:v>160</x:v>
      </x:c>
      <x:c r="C35" s="37" t="n">
        <x:f aca="0">AVERAGE(startYear_total_capitalization,currentYear_total_capitalization)</x:f>
        <x:v>150063.5</x:v>
      </x:c>
      <x:c r="D35" s="31" t="s">
        <x:v>161</x:v>
      </x:c>
      <x:c r="E35" s="32" t="s">
        <x:v>162</x:v>
      </x:c>
    </x:row>
    <x:row r="36" ht="15" hidden="0" customHeight="1">
      <x:c r="A36" s="1"/>
      <x:c r="B36" s="9" t="s">
        <x:v>163</x:v>
      </x:c>
      <x:c r="C36" s="37" t="n">
        <x:f aca="0">currentYear_debt_long_term+currentYear_equity</x:f>
        <x:v>142700</x:v>
      </x:c>
      <x:c r="D36" s="31" t="s">
        <x:v>164</x:v>
      </x:c>
      <x:c r="E36" s="32" t="s">
        <x:v>165</x:v>
      </x:c>
    </x:row>
    <x:row r="37" ht="6" hidden="0" customHeight="1">
      <x:c r="A37" s="1"/>
      <x:c r="B37" s="1"/>
      <x:c r="C37" s="1"/>
      <x:c r="D37" s="1"/>
      <x:c r="E37" s="1"/>
    </x:row>
    <x:row r="38" ht="6" hidden="0" customHeight="1">
      <x:c r="A38" s="1"/>
      <x:c r="B38" s="1"/>
      <x:c r="C38" s="1"/>
      <x:c r="D38" s="1"/>
      <x:c r="E38" s="1"/>
    </x:row>
    <x:row r="39" ht="18" hidden="0" customHeight="1">
      <x:c r="A39" s="1"/>
      <x:c r="B39" s="20" t="s">
        <x:v>166</x:v>
      </x:c>
      <x:c r="C39" s="20" t="s">
        <x:v>167</x:v>
      </x:c>
      <x:c r="D39" s="20" t="s">
        <x:v>82</x:v>
      </x:c>
      <x:c r="E39" s="20" t="s">
        <x:v>83</x:v>
      </x:c>
    </x:row>
    <x:row r="40" ht="21.75" hidden="0" customHeight="1">
      <x:c r="A40" s="1"/>
      <x:c r="B40" s="7" t="s">
        <x:v>168</x:v>
      </x:c>
      <x:c r="C40" s="8"/>
      <x:c r="D40" s="8"/>
      <x:c r="E40" s="8"/>
    </x:row>
    <x:row r="41" ht="24" hidden="0" customHeight="1">
      <x:c r="A41" s="1"/>
      <x:c r="B41" s="9" t="s">
        <x:v>169</x:v>
      </x:c>
      <x:c r="C41" s="39" t="n">
        <x:f aca="0">market_capitalization-currentYear_equity</x:f>
        <x:v>3367153.19686</x:v>
      </x:c>
      <x:c r="D41" s="40" t="s">
        <x:v>170</x:v>
      </x:c>
      <x:c r="E41" s="41" t="s">
        <x:v>171</x:v>
      </x:c>
    </x:row>
    <x:row r="42" ht="24" hidden="0" customHeight="1">
      <x:c r="A42" s="1"/>
      <x:c r="B42" s="9" t="s">
        <x:v>172</x:v>
      </x:c>
      <x:c r="C42" s="42">
        <x:f aca="0">IFERROR(market_capitalization/currentYear_equity,0)</x:f>
        <x:v>60.12472689833187</x:v>
      </x:c>
      <x:c r="D42" s="40" t="s">
        <x:v>173</x:v>
      </x:c>
      <x:c r="E42" s="41" t="s">
        <x:v>174</x:v>
      </x:c>
    </x:row>
    <x:row r="43" ht="24" hidden="0" customHeight="1">
      <x:c r="A43" s="1"/>
      <x:c r="B43" s="9" t="s">
        <x:v>175</x:v>
      </x:c>
      <x:c r="C43" s="39" t="n">
        <x:f aca="0">currentYear_after_tax_operating_income-(cost_capital*startYear_total_capitalization)</x:f>
        <x:v>79352.514</x:v>
      </x:c>
      <x:c r="D43" s="40" t="s">
        <x:v>176</x:v>
      </x:c>
      <x:c r="E43" s="41" t="s">
        <x:v>177</x:v>
      </x:c>
    </x:row>
    <x:row r="44" ht="6" hidden="0" customHeight="1">
      <x:c r="A44" s="1"/>
      <x:c r="B44" s="1"/>
      <x:c r="C44" s="1"/>
      <x:c r="D44" s="1"/>
      <x:c r="E44" s="1"/>
    </x:row>
    <x:row r="45" ht="21.75" hidden="0" customHeight="1">
      <x:c r="A45" s="1"/>
      <x:c r="B45" s="7" t="s">
        <x:v>178</x:v>
      </x:c>
      <x:c r="C45" s="8"/>
      <x:c r="D45" s="8"/>
      <x:c r="E45" s="8"/>
    </x:row>
    <x:row r="46" ht="24" hidden="0" customHeight="1">
      <x:c r="A46" s="1"/>
      <x:c r="B46" s="9" t="s">
        <x:v>179</x:v>
      </x:c>
      <x:c r="C46" s="43">
        <x:f aca="0">IFERROR(currentYear_after_tax_operating_income/startYear_total_assets,0)</x:f>
        <x:v>0.26524518765794153</x:v>
      </x:c>
      <x:c r="D46" s="40" t="s">
        <x:v>180</x:v>
      </x:c>
      <x:c r="E46" s="41" t="s">
        <x:v>181</x:v>
      </x:c>
    </x:row>
    <x:row r="47" ht="24" hidden="0" customHeight="1">
      <x:c r="A47" s="1"/>
      <x:c r="B47" s="9" t="s">
        <x:v>182</x:v>
      </x:c>
      <x:c r="C47" s="43">
        <x:f aca="0">IFERROR(currentYear_after_tax_operating_income/startYear_total_capitalization,0)</x:f>
        <x:v>0.5940591131127443</x:v>
      </x:c>
      <x:c r="D47" s="40" t="s">
        <x:v>183</x:v>
      </x:c>
      <x:c r="E47" s="41" t="s">
        <x:v>184</x:v>
      </x:c>
    </x:row>
    <x:row r="48" ht="24" hidden="0" customHeight="1">
      <x:c r="A48" s="1"/>
      <x:c r="B48" s="9" t="s">
        <x:v>185</x:v>
      </x:c>
      <x:c r="C48" s="43">
        <x:f aca="0">IFERROR(INC_net/startYear_equity,0)</x:f>
        <x:v>1.5083191194928072</x:v>
      </x:c>
      <x:c r="D48" s="40" t="s">
        <x:v>186</x:v>
      </x:c>
      <x:c r="E48" s="41" t="s">
        <x:v>187</x:v>
      </x:c>
    </x:row>
    <x:row r="49" ht="24" hidden="0" customHeight="1">
      <x:c r="A49" s="1"/>
      <x:c r="B49" s="9" t="s">
        <x:v>188</x:v>
      </x:c>
      <x:c r="C49" s="43">
        <x:f aca="0">IFERROR(currentYear_after_tax_operating_income/avg_total_assets,0)</x:f>
        <x:v>0.2606626707341376</x:v>
      </x:c>
      <x:c r="D49" s="40" t="s">
        <x:v>189</x:v>
      </x:c>
      <x:c r="E49" s="41" t="s">
        <x:v>190</x:v>
      </x:c>
    </x:row>
    <x:row r="50" ht="24" hidden="0" customHeight="1">
      <x:c r="A50" s="1"/>
      <x:c r="B50" s="9" t="s">
        <x:v>191</x:v>
      </x:c>
      <x:c r="C50" s="43">
        <x:f aca="0">IFERROR(currentYear_after_tax_operating_income/avg_total_capitalization,0)</x:f>
        <x:v>0.6232091347996015</x:v>
      </x:c>
      <x:c r="D50" s="40" t="s">
        <x:v>192</x:v>
      </x:c>
      <x:c r="E50" s="41" t="s">
        <x:v>193</x:v>
      </x:c>
    </x:row>
    <x:row r="51" ht="24" hidden="0" customHeight="1">
      <x:c r="A51" s="1"/>
      <x:c r="B51" s="9" t="s">
        <x:v>194</x:v>
      </x:c>
      <x:c r="C51" s="43">
        <x:f aca="0">IFERROR(INC_net/avg_equity,0)</x:f>
        <x:v>1.5741250755692886</x:v>
      </x:c>
      <x:c r="D51" s="40" t="s">
        <x:v>195</x:v>
      </x:c>
      <x:c r="E51" s="41" t="s">
        <x:v>196</x:v>
      </x:c>
    </x:row>
    <x:row r="52" ht="6" hidden="0" customHeight="1">
      <x:c r="A52" s="1"/>
      <x:c r="B52" s="1"/>
      <x:c r="C52" s="1"/>
      <x:c r="D52" s="1"/>
      <x:c r="E52" s="1"/>
    </x:row>
    <x:row r="53" ht="21.75" hidden="0" customHeight="1">
      <x:c r="A53" s="1"/>
      <x:c r="B53" s="7" t="s">
        <x:v>197</x:v>
      </x:c>
      <x:c r="C53" s="8"/>
      <x:c r="D53" s="8"/>
      <x:c r="E53" s="8"/>
    </x:row>
    <x:row r="54" ht="24" hidden="0" customHeight="1">
      <x:c r="A54" s="1"/>
      <x:c r="B54" s="9" t="s">
        <x:v>198</x:v>
      </x:c>
      <x:c r="C54" s="42">
        <x:f aca="0">IFERROR(INC_sales/startYear_total_assets,0)</x:f>
        <x:v>1.1090580090361701</x:v>
      </x:c>
      <x:c r="D54" s="40" t="s">
        <x:v>199</x:v>
      </x:c>
      <x:c r="E54" s="41" t="s">
        <x:v>200</x:v>
      </x:c>
    </x:row>
    <x:row r="55" ht="24" hidden="0" customHeight="1">
      <x:c r="A55" s="1"/>
      <x:c r="B55" s="9" t="s">
        <x:v>201</x:v>
      </x:c>
      <x:c r="C55" s="42">
        <x:f aca="0">IFERROR(INC_sales/startYear_receivables,0)</x:f>
        <x:v>13.251830012200081</x:v>
      </x:c>
      <x:c r="D55" s="40" t="s">
        <x:v>202</x:v>
      </x:c>
      <x:c r="E55" s="41" t="s">
        <x:v>203</x:v>
      </x:c>
    </x:row>
    <x:row r="56" ht="24" hidden="0" customHeight="1">
      <x:c r="A56" s="1"/>
      <x:c r="B56" s="9" t="s">
        <x:v>204</x:v>
      </x:c>
      <x:c r="C56" s="44">
        <x:f aca="0">IFERROR(startYear_receivables/currentYear_daily_sales_average,0)</x:f>
        <x:v>27.543365683378727</x:v>
      </x:c>
      <x:c r="D56" s="40" t="s">
        <x:v>205</x:v>
      </x:c>
      <x:c r="E56" s="41" t="s">
        <x:v>206</x:v>
      </x:c>
    </x:row>
    <x:row r="57" ht="24" hidden="0" customHeight="1">
      <x:c r="A57" s="1"/>
      <x:c r="B57" s="9" t="s">
        <x:v>207</x:v>
      </x:c>
      <x:c r="C57" s="42">
        <x:f aca="0">IFERROR(INC_cost_goods_sold/startYear_inventory,0)</x:f>
        <x:v>33.225714737008374</x:v>
      </x:c>
      <x:c r="D57" s="40" t="s">
        <x:v>208</x:v>
      </x:c>
      <x:c r="E57" s="41" t="s">
        <x:v>209</x:v>
      </x:c>
    </x:row>
    <x:row r="58" ht="24" hidden="0" customHeight="1">
      <x:c r="A58" s="1"/>
      <x:c r="B58" s="9" t="s">
        <x:v>210</x:v>
      </x:c>
      <x:c r="C58" s="44">
        <x:f aca="0">IFERROR(startYear_inventory/currentYear_cost_goods_sold_daily,0)</x:f>
        <x:v>10.985467216855557</x:v>
      </x:c>
      <x:c r="D58" s="40" t="s">
        <x:v>211</x:v>
      </x:c>
      <x:c r="E58" s="41" t="s">
        <x:v>212</x:v>
      </x:c>
    </x:row>
    <x:row r="59" ht="24" hidden="0" customHeight="1">
      <x:c r="A59" s="1"/>
      <x:c r="B59" s="9" t="s">
        <x:v>213</x:v>
      </x:c>
      <x:c r="C59" s="43">
        <x:f aca="0">IFERROR(INC_net/INC_sales,0)</x:f>
        <x:v>0.23971255769943867</x:v>
      </x:c>
      <x:c r="D59" s="40" t="s">
        <x:v>214</x:v>
      </x:c>
      <x:c r="E59" s="41" t="s">
        <x:v>215</x:v>
      </x:c>
    </x:row>
    <x:row r="60" ht="24" hidden="0" customHeight="1">
      <x:c r="A60" s="1"/>
      <x:c r="B60" s="9" t="s">
        <x:v>216</x:v>
      </x:c>
      <x:c r="C60" s="43">
        <x:f aca="0">IFERROR(currentYear_after_tax_operating_income/INC_sales,0)</x:f>
        <x:v>0.23916259158387357</x:v>
      </x:c>
      <x:c r="D60" s="40" t="s">
        <x:v>217</x:v>
      </x:c>
      <x:c r="E60" s="41" t="s">
        <x:v>218</x:v>
      </x:c>
    </x:row>
    <x:row r="61" ht="6" hidden="0" customHeight="1">
      <x:c r="A61" s="1"/>
      <x:c r="B61" s="1"/>
      <x:c r="C61" s="1"/>
      <x:c r="D61" s="1"/>
      <x:c r="E61" s="1"/>
    </x:row>
    <x:row r="62" ht="21.75" hidden="0" customHeight="1">
      <x:c r="A62" s="1"/>
      <x:c r="B62" s="7" t="s">
        <x:v>219</x:v>
      </x:c>
      <x:c r="C62" s="8"/>
      <x:c r="D62" s="8"/>
      <x:c r="E62" s="8"/>
    </x:row>
    <x:row r="63" ht="24" hidden="0" customHeight="1">
      <x:c r="A63" s="1"/>
      <x:c r="B63" s="9" t="s">
        <x:v>220</x:v>
      </x:c>
      <x:c r="C63" s="43">
        <x:f aca="0">IFERROR(currentYear_debt_long_term/debt_long_term_equity,0)</x:f>
        <x:v>0.6009110021023125</x:v>
      </x:c>
      <x:c r="D63" s="40" t="s">
        <x:v>221</x:v>
      </x:c>
      <x:c r="E63" s="41" t="s">
        <x:v>222</x:v>
      </x:c>
    </x:row>
    <x:row r="64" ht="24" hidden="0" customHeight="1">
      <x:c r="A64" s="1"/>
      <x:c r="B64" s="9" t="s">
        <x:v>223</x:v>
      </x:c>
      <x:c r="C64" s="42">
        <x:f aca="0">IFERROR(currentYear_debt_long_term/currentYear_equity,0)</x:f>
        <x:v>1.5057067603160668</x:v>
      </x:c>
      <x:c r="D64" s="40" t="s">
        <x:v>224</x:v>
      </x:c>
      <x:c r="E64" s="41" t="s">
        <x:v>225</x:v>
      </x:c>
    </x:row>
    <x:row r="65" ht="24" hidden="0" customHeight="1">
      <x:c r="A65" s="1"/>
      <x:c r="B65" s="9" t="s">
        <x:v>226</x:v>
      </x:c>
      <x:c r="C65" s="43">
        <x:f aca="0">IFERROR(currentYear_liabilities_total/currentYear_assets_total,0)</x:f>
        <x:v>0.8439640528248123</x:v>
      </x:c>
      <x:c r="D65" s="40" t="s">
        <x:v>227</x:v>
      </x:c>
      <x:c r="E65" s="41" t="s">
        <x:v>228</x:v>
      </x:c>
    </x:row>
    <x:row r="66" ht="24" hidden="0" customHeight="1">
      <x:c r="A66" s="1"/>
      <x:c r="B66" s="9" t="s">
        <x:v>229</x:v>
      </x:c>
      <x:c r="C66" s="42">
        <x:f aca="0">IFERROR(INC_ebit/INC_interest_expense,0)</x:f>
        <x:v>31.344696006105316</x:v>
      </x:c>
      <x:c r="D66" s="40" t="s">
        <x:v>230</x:v>
      </x:c>
      <x:c r="E66" s="41" t="s">
        <x:v>231</x:v>
      </x:c>
    </x:row>
    <x:row r="67" ht="24" hidden="0" customHeight="1">
      <x:c r="A67" s="1"/>
      <x:c r="B67" s="9" t="s">
        <x:v>232</x:v>
      </x:c>
      <x:c r="C67" s="42" t="n">
        <x:f aca="0">IFERROR((INC_ebit+INC_depreciation)/INC_interest_expense,0)</x:f>
        <x:v>34.2561689137624</x:v>
      </x:c>
      <x:c r="D67" s="40" t="s">
        <x:v>233</x:v>
      </x:c>
      <x:c r="E67" s="41" t="s">
        <x:v>234</x:v>
      </x:c>
    </x:row>
    <x:row r="68" ht="24" hidden="0" customHeight="1">
      <x:c r="A68" s="1"/>
      <x:c r="B68" s="9" t="s">
        <x:v>235</x:v>
      </x:c>
      <x:c r="C68" s="43">
        <x:f aca="0">IFERROR(INC_net/currentYear_after_tax_operating_income,0)</x:f>
        <x:v>1.0022995490721307</x:v>
      </x:c>
      <x:c r="D68" s="40" t="s">
        <x:v>236</x:v>
      </x:c>
      <x:c r="E68" s="41" t="s">
        <x:v>237</x:v>
      </x:c>
    </x:row>
    <x:row r="69" ht="24" hidden="0" customHeight="1">
      <x:c r="A69" s="1"/>
      <x:c r="B69" s="9" t="s">
        <x:v>238</x:v>
      </x:c>
      <x:c r="C69" s="42">
        <x:f aca="0">IFERROR(startYear_total_assets/startYear_equity,0)</x:f>
        <x:v>5.673462491552152</x:v>
      </x:c>
      <x:c r="D69" s="40" t="s">
        <x:v>239</x:v>
      </x:c>
      <x:c r="E69" s="41" t="s">
        <x:v>240</x:v>
      </x:c>
    </x:row>
    <x:row r="70" ht="6" hidden="0" customHeight="1">
      <x:c r="A70" s="1"/>
      <x:c r="B70" s="1"/>
      <x:c r="C70" s="1"/>
      <x:c r="D70" s="1"/>
      <x:c r="E70" s="1"/>
    </x:row>
    <x:row r="71" ht="21.75" hidden="0" customHeight="1">
      <x:c r="A71" s="1"/>
      <x:c r="B71" s="7" t="s">
        <x:v>241</x:v>
      </x:c>
      <x:c r="C71" s="8"/>
      <x:c r="D71" s="8"/>
      <x:c r="E71" s="8"/>
    </x:row>
    <x:row r="72" ht="24" hidden="0" customHeight="1">
      <x:c r="A72" s="1"/>
      <x:c r="B72" s="9" t="s">
        <x:v>242</x:v>
      </x:c>
      <x:c r="C72" s="43">
        <x:f aca="0">IFERROR(currentYear_working_capital_net/currentYear_assets_total,0)</x:f>
        <x:v>-0.06412680146857362</x:v>
      </x:c>
      <x:c r="D72" s="40" t="s">
        <x:v>243</x:v>
      </x:c>
      <x:c r="E72" s="41" t="s">
        <x:v>244</x:v>
      </x:c>
    </x:row>
    <x:row r="73" ht="24" hidden="0" customHeight="1">
      <x:c r="A73" s="1"/>
      <x:c r="B73" s="9" t="s">
        <x:v>245</x:v>
      </x:c>
      <x:c r="C73" s="42">
        <x:f aca="0">IFERROR(currentYear_assets_current/currentYear_liabilities_current,0)</x:f>
        <x:v>0.8673125765340832</x:v>
      </x:c>
      <x:c r="D73" s="40" t="s">
        <x:v>246</x:v>
      </x:c>
      <x:c r="E73" s="41" t="s">
        <x:v>247</x:v>
      </x:c>
    </x:row>
    <x:row r="74" ht="24" hidden="0" customHeight="1">
      <x:c r="A74" s="1"/>
      <x:c r="B74" s="9" t="s">
        <x:v>248</x:v>
      </x:c>
      <x:c r="C74" s="42">
        <x:f aca="0">IFERROR((currentYear_assets_current-currentYear_inventory)/currentYear_liabilities_current,0)</x:f>
        <x:v>0.8260068483831466</x:v>
      </x:c>
      <x:c r="D74" s="40" t="s">
        <x:v>249</x:v>
      </x:c>
      <x:c r="E74" s="41" t="s">
        <x:v>250</x:v>
      </x:c>
    </x:row>
    <x:row r="75" ht="24" hidden="0" customHeight="1">
      <x:c r="A75" s="1"/>
      <x:c r="B75" s="9" t="s">
        <x:v>251</x:v>
      </x:c>
      <x:c r="C75" s="42">
        <x:f aca="0">IFERROR(currentYear_cash_marketable_securities/currentYear_liabilities_current,0)</x:f>
        <x:v>0.36946686924577077</x:v>
      </x:c>
      <x:c r="D75" s="40" t="s">
        <x:v>252</x:v>
      </x:c>
      <x:c r="E75" s="41" t="s">
        <x:v>253</x:v>
      </x:c>
    </x:row>
    <x:row r="76" ht="6" hidden="0" customHeight="1">
      <x:c r="A76" s="1"/>
      <x:c r="B76" s="1"/>
      <x:c r="C76" s="1"/>
      <x:c r="D76" s="1"/>
      <x:c r="E76" s="1"/>
    </x:row>
    <x:row r="77" ht="21.75" hidden="0" customHeight="1">
      <x:c r="A77" s="1"/>
      <x:c r="B77" s="7" t="s">
        <x:v>254</x:v>
      </x:c>
      <x:c r="C77" s="8"/>
      <x:c r="D77" s="8"/>
      <x:c r="E77" s="8"/>
    </x:row>
    <x:row r="78" ht="24" hidden="0" customHeight="1">
      <x:c r="A78" s="1"/>
      <x:c r="B78" s="9" t="s">
        <x:v>255</x:v>
      </x:c>
      <x:c r="C78" s="43">
        <x:f aca="0">IFERROR(RATIO_asset_turnover*RATIO_operating_profit_margin,0)</x:f>
        <x:v>0.26524518765794153</x:v>
      </x:c>
      <x:c r="D78" s="40" t="s">
        <x:v>256</x:v>
      </x:c>
      <x:c r="E78" s="41" t="s">
        <x:v>257</x:v>
      </x:c>
    </x:row>
    <x:row r="79" ht="24" hidden="0" customHeight="1">
      <x:c r="A79" s="1"/>
      <x:c r="B79" s="45" t="s">
        <x:v>258</x:v>
      </x:c>
      <x:c r="C79" s="46">
        <x:f aca="0">RATIO_asset_turnover</x:f>
        <x:v>1.1090580090361701</x:v>
      </x:c>
      <x:c r="D79" s="40" t="s">
        <x:v>259</x:v>
      </x:c>
      <x:c r="E79" s="41" t="s">
        <x:v>200</x:v>
      </x:c>
    </x:row>
    <x:row r="80" ht="24" hidden="0" customHeight="1">
      <x:c r="A80" s="1"/>
      <x:c r="B80" s="45" t="s">
        <x:v>260</x:v>
      </x:c>
      <x:c r="C80" s="47">
        <x:f aca="0">RATIO_operating_profit_margin</x:f>
        <x:v>0.23916259158387357</x:v>
      </x:c>
      <x:c r="D80" s="40" t="s">
        <x:v>259</x:v>
      </x:c>
      <x:c r="E80" s="41" t="s">
        <x:v>218</x:v>
      </x:c>
    </x:row>
    <x:row r="81" ht="6" hidden="0" customHeight="1">
      <x:c r="A81" s="1"/>
      <x:c r="B81" s="1"/>
      <x:c r="C81" s="1"/>
      <x:c r="D81" s="1"/>
      <x:c r="E81" s="1"/>
    </x:row>
    <x:row r="82" ht="24" hidden="0" customHeight="1">
      <x:c r="A82" s="1"/>
      <x:c r="B82" s="9" t="s">
        <x:v>261</x:v>
      </x:c>
      <x:c r="C82" s="43">
        <x:f aca="0">IFERROR(RATIO_leverage*RATIO_asset_turnover*RATIO_operating_profit_margin*RATIO_debt_burden,0)</x:f>
        <x:v>1.508319119492807</x:v>
      </x:c>
      <x:c r="D82" s="40" t="s">
        <x:v>262</x:v>
      </x:c>
      <x:c r="E82" s="41" t="s">
        <x:v>263</x:v>
      </x:c>
    </x:row>
    <x:row r="83" ht="24" hidden="0" customHeight="1">
      <x:c r="A83" s="1"/>
      <x:c r="B83" s="45" t="s">
        <x:v>264</x:v>
      </x:c>
      <x:c r="C83" s="46">
        <x:f aca="0">RATIO_leverage</x:f>
        <x:v>5.673462491552152</x:v>
      </x:c>
      <x:c r="D83" s="40" t="s">
        <x:v>265</x:v>
      </x:c>
      <x:c r="E83" s="41" t="s">
        <x:v>240</x:v>
      </x:c>
    </x:row>
    <x:row r="84" ht="24" hidden="0" customHeight="1">
      <x:c r="A84" s="1"/>
      <x:c r="B84" s="45" t="s">
        <x:v>258</x:v>
      </x:c>
      <x:c r="C84" s="46">
        <x:f aca="0">RATIO_asset_turnover</x:f>
        <x:v>1.1090580090361701</x:v>
      </x:c>
      <x:c r="D84" s="40" t="s">
        <x:v>259</x:v>
      </x:c>
      <x:c r="E84" s="41" t="s">
        <x:v>200</x:v>
      </x:c>
    </x:row>
    <x:row r="85" ht="24" hidden="0" customHeight="1">
      <x:c r="A85" s="1"/>
      <x:c r="B85" s="45" t="s">
        <x:v>260</x:v>
      </x:c>
      <x:c r="C85" s="47">
        <x:f aca="0">RATIO_operating_profit_margin</x:f>
        <x:v>0.23916259158387357</x:v>
      </x:c>
      <x:c r="D85" s="40" t="s">
        <x:v>259</x:v>
      </x:c>
      <x:c r="E85" s="41" t="s">
        <x:v>218</x:v>
      </x:c>
    </x:row>
    <x:row r="86" ht="24" hidden="0" customHeight="1">
      <x:c r="A86" s="1"/>
      <x:c r="B86" s="45" t="s">
        <x:v>266</x:v>
      </x:c>
      <x:c r="C86" s="47">
        <x:f aca="0">RATIO_debt_burden</x:f>
        <x:v>1.0022995490721307</x:v>
      </x:c>
      <x:c r="D86" s="40" t="s">
        <x:v>265</x:v>
      </x:c>
      <x:c r="E86" s="41" t="s">
        <x:v>237</x:v>
      </x:c>
    </x:row>
    <x:row r="87" ht="6" hidden="0" customHeight="1">
      <x:c r="A87" s="1"/>
      <x:c r="B87" s="1"/>
      <x:c r="C87" s="1"/>
      <x:c r="D87" s="1"/>
      <x:c r="E87" s="1"/>
    </x:row>
    <x:row r="88" ht="16.5" hidden="0" customHeight="1">
      <x:c r="A88" s="1"/>
      <x:c r="B88" s="1"/>
      <x:c r="C88" s="1"/>
      <x:c r="D88" s="1"/>
      <x:c r="E88" s="1"/>
    </x:row>
    <x:row r="89" ht="25.5" hidden="0" customHeight="1">
      <x:c r="A89" s="1"/>
      <x:c r="B89" s="48" t="s">
        <x:v>267</x:v>
      </x:c>
      <x:c r="C89" s="49" t="s">
        <x:v>268</x:v>
      </x:c>
      <x:c r="D89" s="50" t="s">
        <x:v>269</x:v>
      </x:c>
      <x:c r="E89" s="51" t="s">
        <x:v>270</x:v>
      </x:c>
    </x:row>
    <x:row r="90" ht="25.5" hidden="0" customHeight="1">
      <x:c r="A90" s="1"/>
      <x:c r="B90" s="52" t="s">
        <x:v>271</x:v>
      </x:c>
      <x:c r="C90" s="53" t="s">
        <x:v>272</x:v>
      </x:c>
      <x:c r="D90" s="53" t="s">
        <x:v>273</x:v>
      </x:c>
      <x:c r="E90" s="53" t="s">
        <x:v>274</x:v>
      </x:c>
    </x:row>
  </x:sheetData>
  <x:dataValidations count="1">
    <x:dataValidation type="decimal" errorStyle="stop" operator="between" allowBlank="0" showDropDown="0" showInputMessage="0" showErrorMessage="0" errorTitle="Invalid %" error="Enter a value between 0% and 100%" sqref="C7:C8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4c0ed65bdc4640c5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328125" defaultRowHeight="14.25"/>
  <x:cols>
    <x:col min="1" max="1" width="2" hidden="0" customWidth="1"/>
    <x:col min="2" max="2" width="28" hidden="0" customWidth="1"/>
    <x:col min="3" max="3" width="72" hidden="0" customWidth="1"/>
  </x:cols>
  <x:sheetData>
    <x:row r="1" ht="21.75" hidden="0" customHeight="1">
      <x:c r="A1" s="1"/>
      <x:c r="B1" s="54" t="s">
        <x:v>275</x:v>
      </x:c>
      <x:c r="C1" s="1"/>
    </x:row>
    <x:row r="2" ht="16.5" hidden="0" customHeight="1">
      <x:c r="A2" s="1"/>
      <x:c r="B2" s="1"/>
      <x:c r="C2" s="1"/>
    </x:row>
    <x:row r="3" ht="15" hidden="0" customHeight="1">
      <x:c r="A3" s="1"/>
      <x:c r="B3" s="55" t="s">
        <x:v>276</x:v>
      </x:c>
      <x:c r="C3" s="56" t="s">
        <x:v>277</x:v>
      </x:c>
    </x:row>
    <x:row r="4" ht="15" hidden="0" customHeight="1">
      <x:c r="A4" s="1"/>
      <x:c r="B4" s="55" t="s">
        <x:v>278</x:v>
      </x:c>
      <x:c r="C4" s="56" t="s">
        <x:v>279</x:v>
      </x:c>
    </x:row>
    <x:row r="5" ht="15" hidden="0" customHeight="1">
      <x:c r="A5" s="1"/>
      <x:c r="B5" s="55" t="s">
        <x:v>280</x:v>
      </x:c>
      <x:c r="C5" s="56" t="s">
        <x:v>281</x:v>
      </x:c>
    </x:row>
    <x:row r="6" ht="15" hidden="0" customHeight="1">
      <x:c r="A6" s="1"/>
      <x:c r="B6" s="55" t="s">
        <x:v>282</x:v>
      </x:c>
      <x:c r="C6" s="56" t="s">
        <x:v>2</x:v>
      </x:c>
    </x:row>
    <x:row r="7" ht="15" hidden="0" customHeight="1">
      <x:c r="A7" s="1"/>
      <x:c r="B7" s="55" t="s">
        <x:v>283</x:v>
      </x:c>
      <x:c r="C7" s="56" t="s">
        <x:v>3</x:v>
      </x:c>
    </x:row>
    <x:row r="8" ht="15" hidden="0" customHeight="1">
      <x:c r="A8" s="1"/>
      <x:c r="B8" s="55" t="s">
        <x:v>284</x:v>
      </x:c>
      <x:c r="C8" s="56" t="s">
        <x:v>285</x:v>
      </x:c>
    </x:row>
    <x:row r="9" ht="15" hidden="0" customHeight="1">
      <x:c r="A9" s="1"/>
      <x:c r="B9" s="55" t="s">
        <x:v>286</x:v>
      </x:c>
      <x:c r="C9" s="56" t="s">
        <x:v>287</x:v>
      </x:c>
    </x:row>
    <x:row r="10" ht="15" hidden="0" customHeight="1">
      <x:c r="A10" s="1"/>
      <x:c r="B10" s="55" t="s">
        <x:v>288</x:v>
      </x:c>
      <x:c r="C10" s="56" t="s">
        <x:v>289</x:v>
      </x:c>
    </x:row>
    <x:row r="11" ht="15" hidden="0" customHeight="1">
      <x:c r="A11" s="1"/>
      <x:c r="B11" s="55" t="s">
        <x:v>290</x:v>
      </x:c>
      <x:c r="C11" s="56" t="s">
        <x:v>291</x:v>
      </x:c>
    </x:row>
    <x:row r="12" ht="15" hidden="0" customHeight="1">
      <x:c r="A12" s="1"/>
      <x:c r="B12" s="55" t="s">
        <x:v>292</x:v>
      </x:c>
      <x:c r="C12" s="56" t="s">
        <x:v>293</x:v>
      </x:c>
    </x:row>
    <x:row r="13" ht="15" hidden="0" customHeight="1">
      <x:c r="A13" s="1"/>
      <x:c r="B13" s="55" t="s">
        <x:v>294</x:v>
      </x:c>
      <x:c r="C13" s="56" t="s">
        <x:v>295</x:v>
      </x:c>
    </x:row>
    <x:row r="14" ht="15" hidden="0" customHeight="1">
      <x:c r="A14" s="1"/>
      <x:c r="B14" s="1"/>
      <x:c r="C14" s="56"/>
    </x:row>
    <x:row r="15" ht="15" hidden="0" customHeight="1">
      <x:c r="A15" s="1"/>
      <x:c r="B15" s="55" t="s">
        <x:v>296</x:v>
      </x:c>
      <x:c r="C15" s="56" t="s">
        <x:v>297</x:v>
      </x:c>
    </x:row>
    <x:row r="16" ht="15" hidden="0" customHeight="1">
      <x:c r="A16" s="1"/>
      <x:c r="B16" s="55" t="s">
        <x:v>298</x:v>
      </x:c>
      <x:c r="C16" s="56" t="s">
        <x:v>299</x:v>
      </x:c>
    </x:row>
    <x:row r="17" ht="15" hidden="0" customHeight="1">
      <x:c r="A17" s="1"/>
      <x:c r="B17" s="55" t="s">
        <x:v>300</x:v>
      </x:c>
      <x:c r="C17" s="56" t="s">
        <x:v>301</x:v>
      </x:c>
    </x:row>
    <x:row r="18" ht="15" hidden="0" customHeight="1">
      <x:c r="A18" s="1"/>
      <x:c r="B18" s="55" t="s">
        <x:v>302</x:v>
      </x:c>
      <x:c r="C18" s="56" t="s">
        <x:v>303</x:v>
      </x:c>
    </x:row>
    <x:row r="19" ht="15" hidden="0" customHeight="1">
      <x:c r="A19" s="1"/>
      <x:c r="B19" s="1"/>
      <x:c r="C19" s="56"/>
    </x:row>
    <x:row r="20" ht="15" hidden="0" customHeight="1">
      <x:c r="A20" s="1"/>
      <x:c r="B20" s="55" t="s">
        <x:v>304</x:v>
      </x:c>
      <x:c r="C20" s="56" t="s">
        <x:v>305</x:v>
      </x:c>
    </x:row>
  </x:sheetData>
  <x:pageMargins left="0.7" right="0.7" top="0.75" bottom="0.75" header="0.3" footer="0.3"/>
</x:worksheet>
</file>